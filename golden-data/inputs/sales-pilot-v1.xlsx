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c379f2e55541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-01" sheetId="1" r:id="R3dc7e37c93154377"/>
    <x:sheet xmlns:r="http://schemas.openxmlformats.org/officeDocument/2006/relationships" name="Data-02" sheetId="2" r:id="R0d3a7632fdc24eb4"/>
    <x:sheet xmlns:r="http://schemas.openxmlformats.org/officeDocument/2006/relationships" name="Data-03" sheetId="3" r:id="Rac45a76aa54e4105"/>
    <x:sheet xmlns:r="http://schemas.openxmlformats.org/officeDocument/2006/relationships" name="Data-04" sheetId="4" r:id="R31ac67bd9ade404d"/>
    <x:sheet xmlns:r="http://schemas.openxmlformats.org/officeDocument/2006/relationships" name="Data-05" sheetId="5" r:id="R26cad1bb27794e71"/>
    <x:sheet xmlns:r="http://schemas.openxmlformats.org/officeDocument/2006/relationships" name="Data-06" sheetId="6" r:id="Rfdd706474b23403b"/>
    <x:sheet xmlns:r="http://schemas.openxmlformats.org/officeDocument/2006/relationships" name="Data-07" sheetId="7" r:id="Re61f7cb71f8241d1"/>
    <x:sheet xmlns:r="http://schemas.openxmlformats.org/officeDocument/2006/relationships" name="Data-08" sheetId="8" r:id="R890735147c684470"/>
    <x:sheet xmlns:r="http://schemas.openxmlformats.org/officeDocument/2006/relationships" name="Data-09" sheetId="9" r:id="Re54917f47d6e42b0"/>
    <x:sheet xmlns:r="http://schemas.openxmlformats.org/officeDocument/2006/relationships" name="Data-10" sheetId="10" r:id="R2e3e077ac03b449b"/>
    <x:sheet xmlns:r="http://schemas.openxmlformats.org/officeDocument/2006/relationships" name="Data-11" sheetId="11" r:id="R5b330a91b8ba415a"/>
    <x:sheet xmlns:r="http://schemas.openxmlformats.org/officeDocument/2006/relationships" name="Data-12" sheetId="12" r:id="R100e32164642482f"/>
    <x:sheet xmlns:r="http://schemas.openxmlformats.org/officeDocument/2006/relationships" name="Data-13" sheetId="13" r:id="Rf18dddb809d74be4"/>
    <x:sheet xmlns:r="http://schemas.openxmlformats.org/officeDocument/2006/relationships" name="Data-14" sheetId="14" r:id="Rdc1b829a4b4a458c"/>
    <x:sheet xmlns:r="http://schemas.openxmlformats.org/officeDocument/2006/relationships" name="Data-15" sheetId="15" r:id="R62193b195e71470a"/>
    <x:sheet xmlns:r="http://schemas.openxmlformats.org/officeDocument/2006/relationships" name="Data-16" sheetId="16" r:id="R75f7063d40194638"/>
    <x:sheet xmlns:r="http://schemas.openxmlformats.org/officeDocument/2006/relationships" name="Data-17" sheetId="17" r:id="R9d3e75fb26664f4c"/>
    <x:sheet xmlns:r="http://schemas.openxmlformats.org/officeDocument/2006/relationships" name="Data-18" sheetId="18" r:id="Re7124e547f0e4893"/>
    <x:sheet xmlns:r="http://schemas.openxmlformats.org/officeDocument/2006/relationships" name="Data-19" sheetId="19" r:id="R95c58fd867ae4b8d"/>
    <x:sheet xmlns:r="http://schemas.openxmlformats.org/officeDocument/2006/relationships" name="Data-20" sheetId="20" r:id="Rd34e5942b08f4b5f"/>
    <x:sheet xmlns:r="http://schemas.openxmlformats.org/officeDocument/2006/relationships" name="Data-21" sheetId="21" r:id="Rcbca1c533a964e33"/>
    <x:sheet xmlns:r="http://schemas.openxmlformats.org/officeDocument/2006/relationships" name="Data-22" sheetId="22" r:id="R577a1e3a133b451f"/>
    <x:sheet xmlns:r="http://schemas.openxmlformats.org/officeDocument/2006/relationships" name="Data-23" sheetId="23" r:id="R5fd5eb2c80b24a8f"/>
    <x:sheet xmlns:r="http://schemas.openxmlformats.org/officeDocument/2006/relationships" name="Data-24" sheetId="24" r:id="R73866eee8ff54494"/>
    <x:sheet xmlns:r="http://schemas.openxmlformats.org/officeDocument/2006/relationships" name="Data-25" sheetId="25" r:id="R2a894c0635d94bc0"/>
    <x:sheet xmlns:r="http://schemas.openxmlformats.org/officeDocument/2006/relationships" name="Data-26" sheetId="26" r:id="R9f75b687c69c496e"/>
    <x:sheet xmlns:r="http://schemas.openxmlformats.org/officeDocument/2006/relationships" name="Data-27" sheetId="27" r:id="Rcdc052d887034053"/>
    <x:sheet xmlns:r="http://schemas.openxmlformats.org/officeDocument/2006/relationships" name="Data-28" sheetId="28" r:id="Reb09f603168244c3"/>
    <x:sheet xmlns:r="http://schemas.openxmlformats.org/officeDocument/2006/relationships" name="Data-29" sheetId="29" r:id="Rfa6a9a1c06b74d24"/>
    <x:sheet xmlns:r="http://schemas.openxmlformats.org/officeDocument/2006/relationships" name="Data-30" sheetId="30" r:id="Rb6bc72faad294551"/>
  </x:sheets>
</x:workbook>
</file>

<file path=xl/sharedStrings.xml><?xml version="1.0" encoding="utf-8"?>
<x:sst xmlns:x="http://schemas.openxmlformats.org/spreadsheetml/2006/main">
  <x:si>
    <x:t xml:space="preserve">总量</x:t>
  </x:si>
  <x:si>
    <x:t xml:space="preserve">餐饮任务</x:t>
  </x:si>
  <x:si>
    <x:t xml:space="preserve">核心餐饮任务</x:t>
  </x:si>
  <x:si>
    <x:t xml:space="preserve">业务员</x:t>
  </x:si>
  <x:si>
    <x:t xml:space="preserve">一月任务</x:t>
  </x:si>
  <x:si>
    <x:t xml:space="preserve">二月任务</x:t>
  </x:si>
  <x:si>
    <x:t xml:space="preserve">三月任务</x:t>
  </x:si>
  <x:si>
    <x:t xml:space="preserve">四月任务</x:t>
  </x:si>
  <x:si>
    <x:t xml:space="preserve">五月任务</x:t>
  </x:si>
  <x:si>
    <x:t xml:space="preserve">六月任务</x:t>
  </x:si>
  <x:si>
    <x:t xml:space="preserve">七月任务</x:t>
  </x:si>
  <x:si>
    <x:t xml:space="preserve">八月任务</x:t>
  </x:si>
  <x:si>
    <x:t xml:space="preserve">九月任务</x:t>
  </x:si>
  <x:si>
    <x:t xml:space="preserve">十月任务</x:t>
  </x:si>
  <x:si>
    <x:t xml:space="preserve">十一月任务</x:t>
  </x:si>
  <x:si>
    <x:t xml:space="preserve">十二月任务</x:t>
  </x:si>
  <x:si>
    <x:t xml:space="preserve">任务合计</x:t>
  </x:si>
  <x:si>
    <x:t xml:space="preserve">1-5月 </x:t>
  </x:si>
  <x:si>
    <x:t xml:space="preserve">26年1-5月出货</x:t>
  </x:si>
  <x:si>
    <x:t xml:space="preserve">25年1-5月出货</x:t>
  </x:si>
  <x:si>
    <x:t xml:space="preserve">同比</x:t>
  </x:si>
  <x:si>
    <x:t xml:space="preserve">出货</x:t>
  </x:si>
  <x:si>
    <x:t xml:space="preserve">一月出货</x:t>
  </x:si>
  <x:si>
    <x:t xml:space="preserve">二月出货</x:t>
  </x:si>
  <x:si>
    <x:t xml:space="preserve">三月出货</x:t>
  </x:si>
  <x:si>
    <x:t xml:space="preserve">四月出货</x:t>
  </x:si>
  <x:si>
    <x:t xml:space="preserve">五月出货</x:t>
  </x:si>
  <x:si>
    <x:t xml:space="preserve">六月出货</x:t>
  </x:si>
  <x:si>
    <x:t xml:space="preserve">七月出货</x:t>
  </x:si>
  <x:si>
    <x:t xml:space="preserve">八月出货</x:t>
  </x:si>
  <x:si>
    <x:t xml:space="preserve">九月出货</x:t>
  </x:si>
  <x:si>
    <x:t xml:space="preserve">十月出货</x:t>
  </x:si>
  <x:si>
    <x:t xml:space="preserve">十一月出货</x:t>
  </x:si>
  <x:si>
    <x:t xml:space="preserve">十二月出货</x:t>
  </x:si>
  <x:si>
    <x:t xml:space="preserve">出货合计</x:t>
  </x:si>
  <x:si>
    <x:t xml:space="preserve">完成率</x:t>
  </x:si>
  <x:si>
    <x:t xml:space="preserve">任务</x:t>
  </x:si>
  <x:si>
    <x:t xml:space="preserve">1月完成率</x:t>
  </x:si>
  <x:si>
    <x:t xml:space="preserve">2月完成率</x:t>
  </x:si>
  <x:si>
    <x:t xml:space="preserve">3月完成率</x:t>
  </x:si>
  <x:si>
    <x:t xml:space="preserve">4月完成率</x:t>
  </x:si>
  <x:si>
    <x:t xml:space="preserve">5月完成率</x:t>
  </x:si>
  <x:si>
    <x:t xml:space="preserve">6月完成率</x:t>
  </x:si>
  <x:si>
    <x:t xml:space="preserve">7月完成率</x:t>
  </x:si>
  <x:si>
    <x:t xml:space="preserve">8月完成率</x:t>
  </x:si>
  <x:si>
    <x:t xml:space="preserve">9月完成率</x:t>
  </x:si>
  <x:si>
    <x:t xml:space="preserve">10月完成率</x:t>
  </x:si>
  <x:si>
    <x:t xml:space="preserve">11月完成率</x:t>
  </x:si>
  <x:si>
    <x:t xml:space="preserve">12月完成率</x:t>
  </x:si>
  <x:si>
    <x:t xml:space="preserve">同期</x:t>
  </x:si>
  <x:si>
    <x:t xml:space="preserve">双大罐对比</x:t>
  </x:si>
  <x:si>
    <x:t xml:space="preserve">特制罐</x:t>
  </x:si>
  <x:si>
    <x:t xml:space="preserve">97罐</x:t>
  </x:si>
  <x:si>
    <x:t xml:space="preserve">双罐</x:t>
  </x:si>
  <x:si>
    <x:t xml:space="preserve">25年特制罐</x:t>
  </x:si>
  <x:si>
    <x:t xml:space="preserve">25年97罐</x:t>
  </x:si>
  <x:si>
    <x:t xml:space="preserve">25年1-5月</x:t>
  </x:si>
  <x:si>
    <x:t xml:space="preserve">合计</x:t>
  </x:si>
  <x:si>
    <x:t xml:space="preserve">26年编制</x:t>
  </x:si>
  <x:si>
    <x:t xml:space="preserve">26年特制罐</x:t>
  </x:si>
  <x:si>
    <x:t xml:space="preserve">26年97罐</x:t>
  </x:si>
  <x:si>
    <x:t xml:space="preserve">26年1-5月</x:t>
  </x:si>
  <x:si>
    <x:t xml:space="preserve">原始任务量表</x:t>
  </x:si>
  <x:si>
    <x:t xml:space="preserve">任务量</x:t>
  </x:si>
  <x:si>
    <x:t xml:space="preserve">1月</x:t>
  </x:si>
  <x:si>
    <x:t xml:space="preserve">2月</x:t>
  </x:si>
  <x:si>
    <x:t xml:space="preserve">3月</x:t>
  </x:si>
  <x:si>
    <x:t xml:space="preserve">4月</x:t>
  </x:si>
  <x:si>
    <x:t xml:space="preserve">5月</x:t>
  </x:si>
  <x:si>
    <x:t xml:space="preserve">6月</x:t>
  </x:si>
  <x:si>
    <x:t xml:space="preserve">7月</x:t>
  </x:si>
  <x:si>
    <x:t xml:space="preserve">8月</x:t>
  </x:si>
  <x:si>
    <x:t xml:space="preserve">9月</x:t>
  </x:si>
  <x:si>
    <x:t xml:space="preserve">10月</x:t>
  </x:si>
  <x:si>
    <x:t xml:space="preserve">11月</x:t>
  </x:si>
  <x:si>
    <x:t xml:space="preserve">12月</x:t>
  </x:si>
  <x:si>
    <x:t xml:space="preserve">第一季度</x:t>
  </x:si>
  <x:si>
    <x:t xml:space="preserve">缺口</x:t>
  </x:si>
  <x:si>
    <x:t xml:space="preserve">出货25年调整前</x:t>
  </x:si>
  <x:si>
    <x:t xml:space="preserve">出货25年调整后</x:t>
  </x:si>
  <x:si>
    <x:t xml:space="preserve">出货26年调整后</x:t>
  </x:si>
  <x:si>
    <x:t xml:space="preserve">97王</x:t>
  </x:si>
  <x:si>
    <x:t xml:space="preserve">26年任务</x:t>
  </x:si>
  <x:si>
    <x:t xml:space="preserve">26年出货</x:t>
  </x:si>
  <x:si>
    <x:t xml:space="preserve">25年</x:t>
  </x:si>
  <x:si>
    <x:t xml:space="preserve">差异</x:t>
  </x:si>
  <x:si>
    <x:t xml:space="preserve">97瓶</x:t>
  </x:si>
  <x:si>
    <x:t xml:space="preserve">26年</x:t>
  </x:si>
  <x:si>
    <x:t xml:space="preserve">品种</x:t>
  </x:si>
  <x:si>
    <x:t xml:space="preserve">销量(箱数)</x:t>
  </x:si>
  <x:si>
    <x:t xml:space="preserve">销量(吨数)</x:t>
  </x:si>
  <x:si>
    <x:t xml:space="preserve">9°0度精品330*24罐纸(伍角换购)</x:t>
  </x:si>
  <x:si>
    <x:t xml:space="preserve">9°纯生(1997)500*12罐纸</x:t>
  </x:si>
  <x:si>
    <x:t xml:space="preserve">9°纯生(1997)528*12瓶纸</x:t>
  </x:si>
  <x:si>
    <x:t xml:space="preserve">10°精品纯生528*12瓶纸(有奖)</x:t>
  </x:si>
  <x:si>
    <x:t xml:space="preserve">9°纯生(1997)500*12罐纸(壹元换购+二维码)</x:t>
  </x:si>
  <x:si>
    <x:t xml:space="preserve">9°纯生(1997)330*24罐纸</x:t>
  </x:si>
  <x:si>
    <x:t xml:space="preserve">11°原浆980*6罐纸(五羊版)</x:t>
  </x:si>
  <x:si>
    <x:t xml:space="preserve">9°纯生(1997)500*12罐纸(壹元换购)</x:t>
  </x:si>
  <x:si>
    <x:t xml:space="preserve">10°特制麦香600*12瓶纸</x:t>
  </x:si>
  <x:si>
    <x:t xml:space="preserve">9°特制纯生528*12瓶纸(壹元换购+二维码)</x:t>
  </x:si>
  <x:si>
    <x:t xml:space="preserve">11°识叹500*12罐纸</x:t>
  </x:si>
  <x:si>
    <x:t xml:space="preserve">9°纯生(1997)330*24罐纸(壹元换购)</x:t>
  </x:si>
  <x:si>
    <x:t xml:space="preserve">10.5°雪堡冷萃(柚香皮尔森)475*12瓶纸(二维码)</x:t>
  </x:si>
  <x:si>
    <x:t xml:space="preserve">13.5°雪堡IPA(新英格兰)275*12瓶纸</x:t>
  </x:si>
  <x:si>
    <x:t xml:space="preserve">13.5°雪堡IPA(新英格兰)980*6罐纸</x:t>
  </x:si>
  <x:si>
    <x:t xml:space="preserve">9°P9啤酒560*12瓶纸</x:t>
  </x:si>
  <x:si>
    <x:t xml:space="preserve">12.3°(1985)640*12瓶纸(二维码)</x:t>
  </x:si>
  <x:si>
    <x:t xml:space="preserve">11°雪堡白啤(比利时)500*12罐纸</x:t>
  </x:si>
  <x:si>
    <x:t xml:space="preserve">9.7°纯生(1997)970*6瓶纸</x:t>
  </x:si>
  <x:si>
    <x:t xml:space="preserve">10°精品纯生528*12瓶纸(二维码)</x:t>
  </x:si>
  <x:si>
    <x:t xml:space="preserve">10°纯生500*12瓶纸</x:t>
  </x:si>
  <x:si>
    <x:t xml:space="preserve">12°珠江600*12瓶纸</x:t>
  </x:si>
  <x:si>
    <x:t xml:space="preserve">9°特制纯生500*12罐纸</x:t>
  </x:si>
  <x:si>
    <x:t xml:space="preserve">9.8°0度精品600*12瓶纸</x:t>
  </x:si>
  <x:si>
    <x:t xml:space="preserve">9.8°0度精品600*12瓶纸(壹元换购+二维码)</x:t>
  </x:si>
  <x:si>
    <x:t xml:space="preserve">10°纯生600*12瓶纸(二维码)</x:t>
  </x:si>
  <x:si>
    <x:t xml:space="preserve">9°特制纯生500*12罐纸(壹元换购)</x:t>
  </x:si>
  <x:si>
    <x:t xml:space="preserve">9°特制纯生500*12罐纸(壹元换购+二维码)</x:t>
  </x:si>
  <x:si>
    <x:t xml:space="preserve">12°珠江500*12罐纸(壹元换购+二维码)</x:t>
  </x:si>
  <x:si>
    <x:t xml:space="preserve">11°雪堡白啤(比利时)980*6罐纸</x:t>
  </x:si>
  <x:si>
    <x:t xml:space="preserve">业务员品种销量</x:t>
  </x:si>
  <x:si>
    <x:t xml:space="preserve">返回查询条件</x:t>
  </x:si>
  <x:si>
    <x:t xml:space="preserve">9°特制纯生500*12罐纸(壹元换购)(标准)</x:t>
  </x:si>
  <x:si>
    <x:t xml:space="preserve">9°纯生(1997)500*12罐纸(壹元换购+二维码)(标准)</x:t>
  </x:si>
  <x:si>
    <x:t xml:space="preserve">菠萝啤味饮料330*24罐纸</x:t>
  </x:si>
  <x:si>
    <x:t xml:space="preserve">12°珠江980*6罐纸</x:t>
  </x:si>
  <x:si>
    <x:t xml:space="preserve">11°凤凰单丛茶980*6罐纸</x:t>
  </x:si>
  <x:si>
    <x:t xml:space="preserve">8°P(珠江P9)500*12罐纸(壹元换购+二维码)</x:t>
  </x:si>
  <x:si>
    <x:t xml:space="preserve">8°P9啤酒500*12瓶纸(二维码)</x:t>
  </x:si>
  <x:si>
    <x:t xml:space="preserve">12.3°(1985)500*12罐纸(二维码)</x:t>
  </x:si>
  <x:si>
    <x:t xml:space="preserve">8°P(珠江P9)500*12罐纸(壹元换购+二维码)(新)</x:t>
  </x:si>
  <x:si>
    <x:t xml:space="preserve">11°原浆500*12罐纸（二维码）</x:t>
  </x:si>
  <x:si>
    <x:t xml:space="preserve">小计</x:t>
  </x:si>
  <x:si>
    <x:t xml:space="preserve">共 25 条记录</x:t>
  </x:si>
  <x:si>
    <x:t xml:space="preserve">25年总量</x:t>
  </x:si>
  <x:si>
    <x:t xml:space="preserve">25年97瓶</x:t>
  </x:si>
  <x:si>
    <x:t xml:space="preserve">25年餐饮</x:t>
  </x:si>
  <x:si>
    <x:t xml:space="preserve">25年核心餐饮</x:t>
  </x:si>
  <x:si>
    <x:t xml:space="preserve">25年特制罐（新版）</x:t>
  </x:si>
  <x:si>
    <x:t xml:space="preserve">25年特制罐（旧版）</x:t>
  </x:si>
  <x:si>
    <x:t xml:space="preserve">25年97罐（新版）</x:t>
  </x:si>
  <x:si>
    <x:t xml:space="preserve">25年 餐饮出货</x:t>
  </x:si>
  <x:si>
    <x:t xml:space="preserve">25年核心餐饮出货</x:t>
  </x:si>
  <x:si>
    <x:t xml:space="preserve">26年特制罐（新版）</x:t>
  </x:si>
  <x:si>
    <x:t xml:space="preserve">25年餐饮出货</x:t>
  </x:si>
  <x:si>
    <x:t xml:space="preserve">26年餐饮出货</x:t>
  </x:si>
  <x:si>
    <x:t xml:space="preserve">26年核心餐饮出货</x:t>
  </x:si>
  <x:si>
    <x:t xml:space="preserve">序号</x:t>
  </x:si>
  <x:si>
    <x:t xml:space="preserve">终端名称</x:t>
  </x:si>
  <x:si>
    <x:t xml:space="preserve">终端地址</x:t>
  </x:si>
  <x:si>
    <x:t xml:space="preserve">终端容量</x:t>
  </x:si>
  <x:si>
    <x:t xml:space="preserve">合作方式</x:t>
  </x:si>
  <x:si>
    <x:t xml:space="preserve">进场品项</x:t>
  </x:si>
  <x:si>
    <x:t xml:space="preserve">时间</x:t>
  </x:si>
  <x:si>
    <x:t xml:space="preserve">专卖</x:t>
  </x:si>
  <x:si>
    <x:t xml:space="preserve">97瓶纯生 980原浆 980白啤 凤凰茶啤</x:t>
  </x:si>
  <x:si>
    <x:t xml:space="preserve">第一周</x:t>
  </x:si>
  <x:si>
    <x:t xml:space="preserve">97王，凤凰茶啤</x:t>
  </x:si>
  <x:si>
    <x:t xml:space="preserve">第二周</x:t>
  </x:si>
  <x:si>
    <x:t xml:space="preserve">97瓶纯生 P9瓶</x:t>
  </x:si>
  <x:si>
    <x:t xml:space="preserve">97罐 97瓶纯生 P9瓶</x:t>
  </x:si>
  <x:si>
    <x:t xml:space="preserve">97瓶纯生 980原浆 1985 P9瓶 凤凰茶啤 97王</x:t>
  </x:si>
  <x:si>
    <x:t xml:space="preserve">97瓶纯生 980原浆  P9瓶  97王</x:t>
  </x:si>
  <x:si>
    <x:t xml:space="preserve">97瓶 97罐 P9瓶 97王</x:t>
  </x:si>
  <x:si>
    <x:t xml:space="preserve">第四周</x:t>
  </x:si>
  <x:si>
    <x:t xml:space="preserve">97瓶 97王 精品纯生 P9瓶</x:t>
  </x:si>
  <x:si>
    <x:t xml:space="preserve">97瓶 97王 P9瓶 980原浆 茶啤</x:t>
  </x:si>
  <x:si>
    <x:t xml:space="preserve">专促</x:t>
  </x:si>
  <x:si>
    <x:t xml:space="preserve">共场</x:t>
  </x:si>
  <x:si>
    <x:t xml:space="preserve">97瓶纯生</x:t>
  </x:si>
  <x:si>
    <x:t xml:space="preserve">97瓶纯生 97王 980原浆</x:t>
  </x:si>
  <x:si>
    <x:t xml:space="preserve">980老珠江 97王</x:t>
  </x:si>
  <x:si>
    <x:t xml:space="preserve">第三周</x:t>
  </x:si>
  <x:si>
    <x:t xml:space="preserve">97瓶纯生 中纯生 0度 P9</x:t>
  </x:si>
  <x:si>
    <x:t xml:space="preserve">97瓶 P9瓶 97王</x:t>
  </x:si>
  <x:si>
    <x:t xml:space="preserve">97王 P9瓶 980白啤</x:t>
  </x:si>
  <x:si>
    <x:t xml:space="preserve">97瓶纯生 P9瓶 </x:t>
  </x:si>
  <x:si>
    <x:t xml:space="preserve">97瓶纯生 无奖零度</x:t>
  </x:si>
  <x:si>
    <x:t xml:space="preserve">97瓶 97王</x:t>
  </x:si>
  <x:si>
    <x:t xml:space="preserve">97瓶 97王 P9瓶</x:t>
  </x:si>
  <x:si>
    <x:t xml:space="preserve">97瓶 97王 P9瓶 980原浆</x:t>
  </x:si>
  <x:si>
    <x:t xml:space="preserve">制高点开拓</x:t>
  </x:si>
  <x:si>
    <x:t xml:space="preserve">场所基本资料</x:t>
  </x:si>
  <x:si>
    <x:t xml:space="preserve">场所原状</x:t>
  </x:si>
  <x:si>
    <x:t xml:space="preserve">开拓计划</x:t>
  </x:si>
  <x:si>
    <x:t xml:space="preserve">终端编号</x:t>
  </x:si>
  <x:si>
    <x:t xml:space="preserve">地 址</x:t>
  </x:si>
  <x:si>
    <x:t xml:space="preserve">联系人</x:t>
  </x:si>
  <x:si>
    <x:t xml:space="preserve">联系电话</x:t>
  </x:si>
  <x:si>
    <x:t xml:space="preserve">啤酒容量（箱/月）</x:t>
  </x:si>
  <x:si>
    <x:t xml:space="preserve">空白点(是/否)</x:t>
  </x:si>
  <x:si>
    <x:t xml:space="preserve">竞品主要销产品</x:t>
  </x:si>
  <x:si>
    <x:t xml:space="preserve">竞争状态（共场/竞品专场/等）</x:t>
  </x:si>
  <x:si>
    <x:t xml:space="preserve">预计开拓时间</x:t>
  </x:si>
  <x:si>
    <x:t xml:space="preserve">本月开拓情况（品项、套餐）</x:t>
  </x:si>
  <x:si>
    <x:t xml:space="preserve">签场情况</x:t>
  </x:si>
  <x:si>
    <x:t xml:space="preserve">是否达成</x:t>
  </x:si>
  <x:si>
    <x:t xml:space="preserve">GZ13260</x:t>
  </x:si>
  <x:si>
    <x:t xml:space="preserve">同德皇宫广场</x:t>
  </x:si>
  <x:si>
    <x:t xml:space="preserve">李铭睿</x:t>
  </x:si>
  <x:si>
    <x:t xml:space="preserve">是</x:t>
  </x:si>
  <x:si>
    <x:t xml:space="preserve">百哈</x:t>
  </x:si>
  <x:si>
    <x:t xml:space="preserve">97瓶 97王 980原浆</x:t>
  </x:si>
  <x:si>
    <x:t xml:space="preserve">已达成</x:t>
  </x:si>
  <x:si>
    <x:t xml:space="preserve">GZ13320</x:t>
  </x:si>
  <x:si>
    <x:t xml:space="preserve">封祝英</x:t>
  </x:si>
  <x:si>
    <x:t xml:space="preserve">97瓶 1985 P9 980原浆 980白啤 97王</x:t>
  </x:si>
  <x:si>
    <x:t xml:space="preserve">ZD0300505</x:t>
  </x:si>
  <x:si>
    <x:t xml:space="preserve">ANLLCAF1007</x:t>
  </x:si>
  <x:si>
    <x:t xml:space="preserve">ANLLCAE40012</x:t>
  </x:si>
  <x:si>
    <x:t xml:space="preserve">粤溪</x:t>
  </x:si>
  <x:si>
    <x:t xml:space="preserve">陈俊杰</x:t>
  </x:si>
  <x:si>
    <x:t xml:space="preserve">否</x:t>
  </x:si>
  <x:si>
    <x:t xml:space="preserve">GZ11183</x:t>
  </x:si>
  <x:si>
    <x:t xml:space="preserve">陈伟杰</x:t>
  </x:si>
  <x:si>
    <x:t xml:space="preserve">ANLLC040004</x:t>
  </x:si>
  <x:si>
    <x:t xml:space="preserve">刘伟君</x:t>
  </x:si>
  <x:si>
    <x:t xml:space="preserve">ZD0334768</x:t>
  </x:si>
  <x:si>
    <x:t xml:space="preserve">梁总</x:t>
  </x:si>
  <x:si>
    <x:t xml:space="preserve">ZD033196</x:t>
  </x:si>
  <x:si>
    <x:t xml:space="preserve">徐生</x:t>
  </x:si>
  <x:si>
    <x:t xml:space="preserve">GZ11567</x:t>
  </x:si>
  <x:si>
    <x:t xml:space="preserve">肖姐</x:t>
  </x:si>
  <x:si>
    <x:t xml:space="preserve">ZD0336243</x:t>
  </x:si>
  <x:si>
    <x:t xml:space="preserve">金悦广场</x:t>
  </x:si>
  <x:si>
    <x:t xml:space="preserve">李小姐</x:t>
  </x:si>
  <x:si>
    <x:t xml:space="preserve">ZD0336244</x:t>
  </x:si>
  <x:si>
    <x:t xml:space="preserve">芳村大道</x:t>
  </x:si>
  <x:si>
    <x:t xml:space="preserve">ZD0335718</x:t>
  </x:si>
  <x:si>
    <x:t xml:space="preserve">七束光营地</x:t>
  </x:si>
  <x:si>
    <x:t xml:space="preserve">曹生</x:t>
  </x:si>
  <x:si>
    <x:t xml:space="preserve">ZD035551</x:t>
  </x:si>
  <x:si>
    <x:t xml:space="preserve">沙凤一路</x:t>
  </x:si>
  <x:si>
    <x:t xml:space="preserve">徐伟祥</x:t>
  </x:si>
  <x:si>
    <x:t xml:space="preserve">ZD0355533</x:t>
  </x:si>
  <x:si>
    <x:t xml:space="preserve">王翔</x:t>
  </x:si>
  <x:si>
    <x:t xml:space="preserve">BNLLCE00056</x:t>
  </x:si>
  <x:si>
    <x:t xml:space="preserve">湖畔夜市</x:t>
  </x:si>
  <x:si>
    <x:t xml:space="preserve">孙丽宁</x:t>
  </x:si>
  <x:si>
    <x:t xml:space="preserve">ANLLC050127</x:t>
  </x:si>
  <x:si>
    <x:t xml:space="preserve">吕生</x:t>
  </x:si>
  <x:si>
    <x:t xml:space="preserve">ZD0368360</x:t>
  </x:si>
  <x:si>
    <x:t xml:space="preserve">黄河</x:t>
  </x:si>
  <x:si>
    <x:t xml:space="preserve">ZD0381418</x:t>
  </x:si>
  <x:si>
    <x:t xml:space="preserve">ZD0379024</x:t>
  </x:si>
  <x:si>
    <x:t xml:space="preserve">刘生</x:t>
  </x:si>
  <x:si>
    <x:t xml:space="preserve">ANLLCAG30012</x:t>
  </x:si>
  <x:si>
    <x:t xml:space="preserve">王生</x:t>
  </x:si>
  <x:si>
    <x:t xml:space="preserve">终端店名</x:t>
  </x:si>
  <x:si>
    <x:t xml:space="preserve">竞品</x:t>
  </x:si>
  <x:si>
    <x:t xml:space="preserve">月度周期</x:t>
  </x:si>
  <x:si>
    <x:t xml:space="preserve">签场</x:t>
  </x:si>
  <x:si>
    <x:t xml:space="preserve">好又多</x:t>
  </x:si>
  <x:si>
    <x:t xml:space="preserve">漓泉</x:t>
  </x:si>
  <x:si>
    <x:t xml:space="preserve">收货</x:t>
  </x:si>
  <x:si>
    <x:t xml:space="preserve">罐类专卖</x:t>
  </x:si>
  <x:si>
    <x:t xml:space="preserve">海记士多</x:t>
  </x:si>
  <x:si>
    <x:t xml:space="preserve">兴华便利店</x:t>
  </x:si>
  <x:si>
    <x:t xml:space="preserve">仁兴</x:t>
  </x:si>
  <x:si>
    <x:t xml:space="preserve">佳佳宝</x:t>
  </x:si>
  <x:si>
    <x:t xml:space="preserve">湘悦鲜</x:t>
  </x:si>
  <x:si>
    <x:t xml:space="preserve">玉林菜馆</x:t>
  </x:si>
  <x:si>
    <x:t xml:space="preserve">老西关炭炉鸡</x:t>
  </x:si>
  <x:si>
    <x:t xml:space="preserve">光头佬爽滑饺子王</x:t>
  </x:si>
  <x:si>
    <x:t xml:space="preserve">蓝带</x:t>
  </x:si>
  <x:si>
    <x:t xml:space="preserve">湖南土菜馆</x:t>
  </x:si>
  <x:si>
    <x:t xml:space="preserve">蓝带，雪花</x:t>
  </x:si>
  <x:si>
    <x:t xml:space="preserve">好佳乐超市</x:t>
  </x:si>
  <x:si>
    <x:t xml:space="preserve">D类专卖</x:t>
  </x:si>
  <x:si>
    <x:t xml:space="preserve">哈啤小麦王</x:t>
  </x:si>
  <x:si>
    <x:t xml:space="preserve">668便利店</x:t>
  </x:si>
  <x:si>
    <x:t xml:space="preserve">万隆天然山泉水</x:t>
  </x:si>
  <x:si>
    <x:t xml:space="preserve">众和便利店</x:t>
  </x:si>
  <x:si>
    <x:t xml:space="preserve">桃姐大排档</x:t>
  </x:si>
  <x:si>
    <x:t xml:space="preserve">蓝带+漓泉</x:t>
  </x:si>
  <x:si>
    <x:t xml:space="preserve">家家乐超市</x:t>
  </x:si>
  <x:si>
    <x:t xml:space="preserve">喜客来</x:t>
  </x:si>
  <x:si>
    <x:t xml:space="preserve">大喜鸡煲</x:t>
  </x:si>
  <x:si>
    <x:t xml:space="preserve">徐记炭炉鸡煲</x:t>
  </x:si>
  <x:si>
    <x:t xml:space="preserve">文发士多</x:t>
  </x:si>
  <x:si>
    <x:t xml:space="preserve">锋豪</x:t>
  </x:si>
  <x:si>
    <x:t xml:space="preserve">饺子馆</x:t>
  </x:si>
  <x:si>
    <x:t xml:space="preserve">小麦王</x:t>
  </x:si>
  <x:si>
    <x:t xml:space="preserve">7+1</x:t>
  </x:si>
  <x:si>
    <x:t xml:space="preserve">哈啤</x:t>
  </x:si>
  <x:si>
    <x:t xml:space="preserve">民亨烟酒</x:t>
  </x:si>
  <x:si>
    <x:t xml:space="preserve">撑佢餐厅</x:t>
  </x:si>
  <x:si>
    <x:t xml:space="preserve">潮乡汤粉世家</x:t>
  </x:si>
  <x:si>
    <x:t xml:space="preserve">鑫盛</x:t>
  </x:si>
  <x:si>
    <x:t xml:space="preserve">玲姐烤吧</x:t>
  </x:si>
  <x:si>
    <x:t xml:space="preserve">好运来超市</x:t>
  </x:si>
  <x:si>
    <x:t xml:space="preserve">盈利广场精酿</x:t>
  </x:si>
  <x:si>
    <x:t xml:space="preserve">福润万家（万龙街）</x:t>
  </x:si>
  <x:si>
    <x:t xml:space="preserve">铭诚轩</x:t>
  </x:si>
  <x:si>
    <x:t xml:space="preserve">漓泉，百哈，蓝带，乌苏</x:t>
  </x:si>
  <x:si>
    <x:t xml:space="preserve">7佳壹</x:t>
  </x:si>
  <x:si>
    <x:t xml:space="preserve">鑫旺</x:t>
  </x:si>
  <x:si>
    <x:t xml:space="preserve">潮汕牛肉火锅</x:t>
  </x:si>
  <x:si>
    <x:t xml:space="preserve">潮兴猪脚饭</x:t>
  </x:si>
  <x:si>
    <x:t xml:space="preserve">金兴士多</x:t>
  </x:si>
  <x:si>
    <x:t xml:space="preserve">启裕便利店</x:t>
  </x:si>
  <x:si>
    <x:t xml:space="preserve">羚里小店</x:t>
  </x:si>
  <x:si>
    <x:t xml:space="preserve">榕兴超市</x:t>
  </x:si>
  <x:si>
    <x:t xml:space="preserve">鼎顺商行</x:t>
  </x:si>
  <x:si>
    <x:t xml:space="preserve">实惠便利店</x:t>
  </x:si>
  <x:si>
    <x:t xml:space="preserve">良厨十七道湘</x:t>
  </x:si>
  <x:si>
    <x:t xml:space="preserve">榕树头饭店</x:t>
  </x:si>
  <x:si>
    <x:t xml:space="preserve">重庆原味羊肉粉</x:t>
  </x:si>
  <x:si>
    <x:t xml:space="preserve">福昌烟酒</x:t>
  </x:si>
  <x:si>
    <x:t xml:space="preserve">黄记商行</x:t>
  </x:si>
  <x:si>
    <x:t xml:space="preserve">水果5区士多</x:t>
  </x:si>
  <x:si>
    <x:t xml:space="preserve">广味炭炉鸡煲</x:t>
  </x:si>
  <x:si>
    <x:t xml:space="preserve">黄沙岗炭炉鸡煲</x:t>
  </x:si>
  <x:si>
    <x:t xml:space="preserve">东北泥炉烤肉</x:t>
  </x:si>
  <x:si>
    <x:t xml:space="preserve">彭记鸡煲</x:t>
  </x:si>
  <x:si>
    <x:t xml:space="preserve">河南金花烩面馆</x:t>
  </x:si>
  <x:si>
    <x:t xml:space="preserve">稻鲜笙</x:t>
  </x:si>
  <x:si>
    <x:t xml:space="preserve">终端编码</x:t>
  </x:si>
  <x:si>
    <x:t xml:space="preserve">地址</x:t>
  </x:si>
  <x:si>
    <x:t xml:space="preserve">月份</x:t>
  </x:si>
  <x:si>
    <x:t xml:space="preserve">ANUAB559</x:t>
  </x:si>
  <x:si>
    <x:t xml:space="preserve">BNLCE0006</x:t>
  </x:si>
  <x:si>
    <x:t xml:space="preserve">ZD02968</x:t>
  </x:si>
  <x:si>
    <x:t xml:space="preserve">ANUDE214</x:t>
  </x:si>
  <x:si>
    <x:t xml:space="preserve">ANLLC030053</x:t>
  </x:si>
  <x:si>
    <x:t xml:space="preserve">西槎路</x:t>
  </x:si>
  <x:si>
    <x:t xml:space="preserve">BNLCE00052</x:t>
  </x:si>
  <x:si>
    <x:t xml:space="preserve">ZD0321129</x:t>
  </x:si>
  <x:si>
    <x:t xml:space="preserve">ANUAD620</x:t>
  </x:si>
  <x:si>
    <x:t xml:space="preserve">ANUAA634</x:t>
  </x:si>
  <x:si>
    <x:t xml:space="preserve">ZD0313672</x:t>
  </x:si>
  <x:si>
    <x:t xml:space="preserve">ANUAD482</x:t>
  </x:si>
  <x:si>
    <x:t xml:space="preserve">ZD00552645</x:t>
  </x:si>
  <x:si>
    <x:t xml:space="preserve">ANUAB861</x:t>
  </x:si>
  <x:si>
    <x:t xml:space="preserve">ANUAB1422</x:t>
  </x:si>
  <x:si>
    <x:t xml:space="preserve">龙骏</x:t>
  </x:si>
  <x:si>
    <x:t xml:space="preserve">ANLLCAE30002</x:t>
  </x:si>
  <x:si>
    <x:t xml:space="preserve">GZ12315</x:t>
  </x:si>
  <x:si>
    <x:t xml:space="preserve">松南</x:t>
  </x:si>
  <x:si>
    <x:t xml:space="preserve">GZ12320</x:t>
  </x:si>
  <x:si>
    <x:t xml:space="preserve">ANUAD677</x:t>
  </x:si>
  <x:si>
    <x:t xml:space="preserve">ANLLC020058</x:t>
  </x:si>
  <x:si>
    <x:t xml:space="preserve">ZD0317554</x:t>
  </x:si>
  <x:si>
    <x:t xml:space="preserve">东旺</x:t>
  </x:si>
  <x:si>
    <x:t xml:space="preserve">ANLLC010085</x:t>
  </x:si>
  <x:si>
    <x:t xml:space="preserve">校园路</x:t>
  </x:si>
  <x:si>
    <x:t xml:space="preserve">ZD0310412</x:t>
  </x:si>
  <x:si>
    <x:t xml:space="preserve">ANLLC040112</x:t>
  </x:si>
  <x:si>
    <x:t xml:space="preserve">松溪</x:t>
  </x:si>
  <x:si>
    <x:t xml:space="preserve">ANLLC040015</x:t>
  </x:si>
  <x:si>
    <x:t xml:space="preserve">松贝</x:t>
  </x:si>
  <x:si>
    <x:t xml:space="preserve">ZD0312309</x:t>
  </x:si>
  <x:si>
    <x:t xml:space="preserve">ZD0322496</x:t>
  </x:si>
  <x:si>
    <x:t xml:space="preserve">ANUDE612</x:t>
  </x:si>
  <x:si>
    <x:t xml:space="preserve">ANUDE819</x:t>
  </x:si>
  <x:si>
    <x:t xml:space="preserve">ANLLC060060</x:t>
  </x:si>
  <x:si>
    <x:t xml:space="preserve">ZD0323974</x:t>
  </x:si>
  <x:si>
    <x:t xml:space="preserve">ANLLC050025</x:t>
  </x:si>
  <x:si>
    <x:t xml:space="preserve">槎溪</x:t>
  </x:si>
  <x:si>
    <x:t xml:space="preserve">ANUAD298</x:t>
  </x:si>
  <x:si>
    <x:t xml:space="preserve">ANUDE662</x:t>
  </x:si>
  <x:si>
    <x:t xml:space="preserve">ZD0322933</x:t>
  </x:si>
  <x:si>
    <x:t xml:space="preserve">合作性质</x:t>
  </x:si>
  <x:si>
    <x:t xml:space="preserve">ZD0151386</x:t>
  </x:si>
  <x:si>
    <x:t xml:space="preserve">GZ12008</x:t>
  </x:si>
  <x:si>
    <x:t xml:space="preserve">ZD0126062</x:t>
  </x:si>
  <x:si>
    <x:t xml:space="preserve">ANLLCAF20031</x:t>
  </x:si>
  <x:si>
    <x:t xml:space="preserve">ZD0118509</x:t>
  </x:si>
  <x:si>
    <x:t xml:space="preserve">ANLLCAF20019</x:t>
  </x:si>
  <x:si>
    <x:t xml:space="preserve">ANLLCAF20033</x:t>
  </x:si>
  <x:si>
    <x:t xml:space="preserve">ANLLCAF40020</x:t>
  </x:si>
  <x:si>
    <x:t xml:space="preserve">ZD0048577</x:t>
  </x:si>
  <x:si>
    <x:t xml:space="preserve">AYXBG501</x:t>
  </x:si>
  <x:si>
    <x:t xml:space="preserve">ZD0004293</x:t>
  </x:si>
  <x:si>
    <x:t xml:space="preserve">ANLLCAF20024</x:t>
  </x:si>
  <x:si>
    <x:t xml:space="preserve">ANLLCAF20030</x:t>
  </x:si>
  <x:si>
    <x:t xml:space="preserve">ANLLCAF20023</x:t>
  </x:si>
  <x:si>
    <x:t xml:space="preserve">ANLLCAF20027</x:t>
  </x:si>
  <x:si>
    <x:t xml:space="preserve">ANLLCAF40019</x:t>
  </x:si>
  <x:si>
    <x:t xml:space="preserve">ANLLCAF20026</x:t>
  </x:si>
  <x:si>
    <x:t xml:space="preserve">ZD0299263</x:t>
  </x:si>
  <x:si>
    <x:t xml:space="preserve">ANLLCAF20022</x:t>
  </x:si>
  <x:si>
    <x:t xml:space="preserve">GZ13395</x:t>
  </x:si>
  <x:si>
    <x:t xml:space="preserve">ANLLCAF20021</x:t>
  </x:si>
  <x:si>
    <x:t xml:space="preserve">GZ13392</x:t>
  </x:si>
  <x:si>
    <x:t xml:space="preserve">ANLLCAF40021</x:t>
  </x:si>
  <x:si>
    <x:t xml:space="preserve">GZ11593</x:t>
  </x:si>
  <x:si>
    <x:t xml:space="preserve">ANLLCAF30009</x:t>
  </x:si>
  <x:si>
    <x:t xml:space="preserve">GZ10707</x:t>
  </x:si>
  <x:si>
    <x:t xml:space="preserve">ANLLCAF50007</x:t>
  </x:si>
  <x:si>
    <x:t xml:space="preserve">GZ10302</x:t>
  </x:si>
  <x:si>
    <x:t xml:space="preserve">ANGL503</x:t>
  </x:si>
  <x:si>
    <x:t xml:space="preserve">ZD0202488</x:t>
  </x:si>
  <x:si>
    <x:t xml:space="preserve">AYXBG409</x:t>
  </x:si>
  <x:si>
    <x:t xml:space="preserve">ANLLCAF50016</x:t>
  </x:si>
  <x:si>
    <x:t xml:space="preserve">百哈专卖</x:t>
  </x:si>
  <x:si>
    <x:t xml:space="preserve">啤酒容量</x:t>
  </x:si>
  <x:si>
    <x:t xml:space="preserve">有售品项</x:t>
  </x:si>
  <x:si>
    <x:t xml:space="preserve">竞品有售</x:t>
  </x:si>
  <x:si>
    <x:t xml:space="preserve">主销品牌</x:t>
  </x:si>
  <x:si>
    <x:t xml:space="preserve">AYXBG453</x:t>
  </x:si>
  <x:si>
    <x:t xml:space="preserve">97瓶，精品纯生</x:t>
  </x:si>
  <x:si>
    <x:t xml:space="preserve">百哈 漓泉</x:t>
  </x:si>
  <x:si>
    <x:t xml:space="preserve">珠江</x:t>
  </x:si>
  <x:si>
    <x:t xml:space="preserve">AYXBG186</x:t>
  </x:si>
  <x:si>
    <x:t xml:space="preserve">蓝带 雪花 漓泉 百哈</x:t>
  </x:si>
  <x:si>
    <x:t xml:space="preserve">ANLLCAF50010</x:t>
  </x:si>
  <x:si>
    <x:t xml:space="preserve">AYXBG238</x:t>
  </x:si>
  <x:si>
    <x:t xml:space="preserve">97瓶，精品纯生，97王，P9瓶，980原浆，980白啤，茶啤</x:t>
  </x:si>
  <x:si>
    <x:t xml:space="preserve">ANUAA825</x:t>
  </x:si>
  <x:si>
    <x:t xml:space="preserve">97瓶，精品纯生，97王，P9瓶，980原浆</x:t>
  </x:si>
  <x:si>
    <x:t xml:space="preserve">AYXBG209</x:t>
  </x:si>
  <x:si>
    <x:t xml:space="preserve">AYXBG224</x:t>
  </x:si>
  <x:si>
    <x:t xml:space="preserve">97瓶，，97王，P9瓶，980原浆</x:t>
  </x:si>
  <x:si>
    <x:t xml:space="preserve">ANLLCAF50006</x:t>
  </x:si>
  <x:si>
    <x:t xml:space="preserve">ANLLCAF50014</x:t>
  </x:si>
  <x:si>
    <x:t xml:space="preserve">AYXBG205</x:t>
  </x:si>
  <x:si>
    <x:t xml:space="preserve">AYXBG240</x:t>
  </x:si>
  <x:si>
    <x:t xml:space="preserve">A方案</x:t>
  </x:si>
  <x:si>
    <x:t xml:space="preserve">K方案</x:t>
  </x:si>
  <x:si>
    <x:t xml:space="preserve">B方案</x:t>
  </x:si>
  <x:si>
    <x:t xml:space="preserve">C方案</x:t>
  </x:si>
  <x:si>
    <x:t xml:space="preserve">零销量场所</x:t>
  </x:si>
  <x:si>
    <x:t xml:space="preserve">倒闭</x:t>
  </x:si>
  <x:si>
    <x:t xml:space="preserve">优化整改</x:t>
  </x:si>
  <x:si>
    <x:t xml:space="preserve">销量不达标</x:t>
  </x:si>
  <x:si>
    <x:t xml:space="preserve">14°雪堡新英式IPA330*12瓶纸</x:t>
  </x:si>
  <x:si>
    <x:t xml:space="preserve">9°0度精品270*24罐纸</x:t>
  </x:si>
  <x:si>
    <x:t xml:space="preserve">500原浆罐</x:t>
  </x:si>
  <x:si>
    <x:t xml:space="preserve">1985罐</x:t>
  </x:si>
  <x:si>
    <x:t xml:space="preserve">500老珠江罐</x:t>
  </x:si>
  <x:si>
    <x:t xml:space="preserve">980老珠江罐</x:t>
  </x:si>
  <x:si>
    <x:t xml:space="preserve">白P9罐</x:t>
  </x:si>
  <x:si>
    <x:t xml:space="preserve">红P9罐</x:t>
  </x:si>
  <x:si>
    <x:t xml:space="preserve">P9瓶</x:t>
  </x:si>
  <x:si>
    <x:t xml:space="preserve">白瓶</x:t>
  </x:si>
  <x:si>
    <x:t xml:space="preserve">茶啤</x:t>
  </x:si>
  <x:si>
    <x:t xml:space="preserve">1985瓶</x:t>
  </x:si>
  <x:si>
    <x:t xml:space="preserve">精品纯生</x:t>
  </x:si>
  <x:si>
    <x:t xml:space="preserve">980白啤</x:t>
  </x:si>
  <x:si>
    <x:t xml:space="preserve">老珠江</x:t>
  </x:si>
  <x:si>
    <x:t xml:space="preserve">1-5月</x:t>
  </x:si>
  <x:si>
    <x:t xml:space="preserve">非现饮网点</x:t>
  </x:si>
  <x:si>
    <x:t xml:space="preserve">3月专卖指标</x:t>
  </x:si>
  <x:si>
    <x:t xml:space="preserve">4月专卖指标</x:t>
  </x:si>
  <x:si>
    <x:t xml:space="preserve">5月专卖指标</x:t>
  </x:si>
  <x:si>
    <x:t xml:space="preserve">已开拓</x:t>
  </x:si>
  <x:si>
    <x:t xml:space="preserve">现饮网点</x:t>
  </x:si>
  <x:si>
    <x:t xml:space="preserve">6月计划</x:t>
  </x:si>
  <x:si>
    <x:t xml:space="preserve">6月专卖指标</x:t>
  </x:si>
  <x:si>
    <x:t xml:space="preserve">ZD0344447</x:t>
  </x:si>
  <x:si>
    <x:t xml:space="preserve">雪花</x:t>
  </x:si>
  <x:si>
    <x:t xml:space="preserve">9°纯生(1997)500*12罐手提纸（壹元换购+二维码）</x:t>
  </x:si>
  <x:si>
    <x:t xml:space="preserve">9.8°(冰醇)600*12瓶纸(壹元换购+二维码)</x:t>
  </x:si>
  <x:si>
    <x:t xml:space="preserve">11.0°凤凰单丛中式茶啤酒980*6罐纸</x:t>
  </x:si>
  <x:si>
    <x:t xml:space="preserve">ERP提货明细表</x:t>
  </x:si>
  <x:si>
    <x:t xml:space="preserve">日期</x:t>
  </x:si>
  <x:si>
    <x:t xml:space="preserve">ERP客户名称</x:t>
  </x:si>
  <x:si>
    <x:t xml:space="preserve">箱数</x:t>
  </x:si>
  <x:si>
    <x:t xml:space="preserve">吨数</x:t>
  </x:si>
  <x:si>
    <x:t xml:space="preserve">广州迅联宇贸易有限公司</x:t>
  </x:si>
  <x:si>
    <x:t xml:space="preserve">11°P珠江原浆啤酒980mL*6罐纸箱装(五羊版)</x:t>
  </x:si>
  <x:si>
    <x:t xml:space="preserve">广州市威仕格贸易有限公司</x:t>
  </x:si>
  <x:si>
    <x:t xml:space="preserve">12.0°P珠江啤酒980mL*6罐纸箱装</x:t>
  </x:si>
  <x:si>
    <x:t xml:space="preserve">9°P珠江特制纯生啤酒500ml*12罐纸箱装</x:t>
  </x:si>
  <x:si>
    <x:t xml:space="preserve">12°P珠江啤酒600ml*12瓶纸箱装(新瓶型)(颈标)(净水)</x:t>
  </x:si>
  <x:si>
    <x:t xml:space="preserve">9°P珠江纯生啤酒(1997)528ml*12瓶纸箱装(拉环盖)(净水)</x:t>
  </x:si>
  <x:si>
    <x:t xml:space="preserve">9°P珠江纯生啤酒(1997)500ml*12罐纸箱装</x:t>
  </x:si>
  <x:si>
    <x:t xml:space="preserve">12°P珠江啤酒500ml*12罐纸箱装</x:t>
  </x:si>
  <x:si>
    <x:t xml:space="preserve">广州市华展贸易有限公司</x:t>
  </x:si>
  <x:si>
    <x:t xml:space="preserve">8.0°P珠江啤酒(珠江P9)500mL*12瓶纸箱装(新瓶型3)(拉环盖)(净水)</x:t>
  </x:si>
  <x:si>
    <x:t xml:space="preserve">10°P珠江纯生啤酒500ml*12瓶纸箱装(新瓶型2)(净水)</x:t>
  </x:si>
  <x:si>
    <x:t xml:space="preserve">广州宇宏国际贸易有限公司</x:t>
  </x:si>
  <x:si>
    <x:t xml:space="preserve">9.7°P珠江纯生啤酒(1997)970mL*6瓶纸箱装(非回收瓶)</x:t>
  </x:si>
  <x:si>
    <x:t xml:space="preserve">10°P珠江精品纯生啤酒528ml*12瓶纸箱装(拉环盖)(净水)</x:t>
  </x:si>
  <x:si>
    <x:t xml:space="preserve">广州锦鼎贸易有限公司</x:t>
  </x:si>
  <x:si>
    <x:t xml:space="preserve">9.8°P珠江0度精品啤酒600ml*12瓶纸箱装</x:t>
  </x:si>
  <x:si>
    <x:t xml:space="preserve">10°P珠江特制麦香啤酒600mL*12瓶纸箱装(新瓶型)(净水)</x:t>
  </x:si>
  <x:si>
    <x:t xml:space="preserve">9°P珠江特制纯生啤酒528mL*12瓶纸箱装(铝帽)</x:t>
  </x:si>
  <x:si>
    <x:t xml:space="preserve">广州银喜庆贸易有限公司</x:t>
  </x:si>
  <x:si>
    <x:t xml:space="preserve">11°P珠江激情皮尔森啤酒桶装(20L)</x:t>
  </x:si>
  <x:si>
    <x:t xml:space="preserve">11°P珠江啤酒桶装（20L）</x:t>
  </x:si>
  <x:si>
    <x:t xml:space="preserve">12°P珠江啤酒600ml*12瓶纸箱装(新瓶型)(颈标)</x:t>
  </x:si>
  <x:si>
    <x:t xml:space="preserve">9.8°P珠江0度精品啤酒600ml*12瓶纸箱装(净水)</x:t>
  </x:si>
  <x:si>
    <x:t xml:space="preserve">9°P珠江纯生啤酒(1997)528ml*12瓶纸箱装(拉环盖)</x:t>
  </x:si>
  <x:si>
    <x:t xml:space="preserve">10°P珠江纯生啤酒330ml*24罐纸箱装</x:t>
  </x:si>
  <x:si>
    <x:t xml:space="preserve">12°P珠江啤酒330ml*24罐纸箱装</x:t>
  </x:si>
  <x:si>
    <x:t xml:space="preserve">8.0°P珠江啤酒(珠江P9)500mL*12罐纸箱装</x:t>
  </x:si>
  <x:si>
    <x:t xml:space="preserve">12.3°P珠江啤酒(1985)640mL*12瓶纸箱装(非回收瓶)</x:t>
  </x:si>
  <x:si>
    <x:t xml:space="preserve">11.0°P雪堡精酿白啤酒(比利时风味)980mL*6罐纸箱装</x:t>
  </x:si>
  <x:si>
    <x:t xml:space="preserve">10°P珠江纯生啤酒600ml*12瓶纸箱装(新瓶型)(净水)</x:t>
  </x:si>
  <x:si>
    <x:t xml:space="preserve">广州永乐多贸易有限公司</x:t>
  </x:si>
  <x:si>
    <x:t xml:space="preserve">11.0°P雪堡精酿白啤酒(比利时风味)500mL*12罐纸箱装</x:t>
  </x:si>
  <x:si>
    <x:t xml:space="preserve">9°P珠江精品纯生啤酒298mL*24瓶纸箱装(水晶/拉环盖)(净水)</x:t>
  </x:si>
  <x:si>
    <x:t xml:space="preserve">9°P珠江特制纯生啤酒528mL*12瓶纸箱装(铝帽)(净水)</x:t>
  </x:si>
  <x:si>
    <x:t xml:space="preserve">9°P珠江特制纯生啤酒528mL*12瓶纸箱装(净水)</x:t>
  </x:si>
  <x:si>
    <x:t xml:space="preserve">9.8°P珠江0度精品啤酒500ml*12瓶纸箱装(净水)</x:t>
  </x:si>
  <x:si>
    <x:t xml:space="preserve">珠江菠萝啤味饮料330ml*24罐纸箱装</x:t>
  </x:si>
  <x:si>
    <x:t xml:space="preserve">9°P珠江精制纯生啤酒330ml*24瓶纸箱装(水晶/异型瓶)</x:t>
  </x:si>
  <x:si>
    <x:t xml:space="preserve">11.0°P珠江凤凰单丛茶啤酒980mL*6罐纸箱装</x:t>
  </x:si>
  <x:si>
    <x:t xml:space="preserve">新开点汇总</x:t>
  </x:si>
  <x:si>
    <x:t xml:space="preserve">办事处</x:t>
  </x:si>
  <x:si>
    <x:t xml:space="preserve">配送商</x:t>
  </x:si>
  <x:si>
    <x:t xml:space="preserve">终端类型</x:t>
  </x:si>
  <x:si>
    <x:t xml:space="preserve">新开品种</x:t>
  </x:si>
  <x:si>
    <x:t xml:space="preserve">新开点数</x:t>
  </x:si>
  <x:si>
    <x:t xml:space="preserve">宇宏国际</x:t>
  </x:si>
  <x:si>
    <x:t xml:space="preserve">现饮</x:t>
  </x:si>
  <x:si>
    <x:t xml:space="preserve">9°纯生(1997)528*12瓶纸拉环(无奖)</x:t>
  </x:si>
  <x:si>
    <x:t xml:space="preserve">非现饮</x:t>
  </x:si>
  <x:si>
    <x:t xml:space="preserve">12.0°P珠江980mL*6罐纸</x:t>
  </x:si>
  <x:si>
    <x:t xml:space="preserve">12°珠江500*12罐纸(一元换购+二维码)</x:t>
  </x:si>
  <x:si>
    <x:t xml:space="preserve">9.7°珠江纯生(1997)970mL*6瓶纸</x:t>
  </x:si>
  <x:si>
    <x:t xml:space="preserve">11.0°P凤凰单丛茶980*6罐纸</x:t>
  </x:si>
  <x:si>
    <x:t xml:space="preserve">9°纯生(1997)500*12罐纸(二维码)</x:t>
  </x:si>
  <x:si>
    <x:t xml:space="preserve">10°珠江精品纯生528*12瓶纸（拉环盖）二维码</x:t>
  </x:si>
  <x:si>
    <x:t xml:space="preserve">12.3°珠江(1985)640*12瓶纸(二维码)</x:t>
  </x:si>
  <x:si>
    <x:t xml:space="preserve">终端对应业务员</x:t>
  </x:si>
  <x:si>
    <x:t xml:space="preserve">赠送品种</x:t>
  </x:si>
  <x:si>
    <x:t xml:space="preserve">协议赠送量</x:t>
  </x:si>
  <x:si>
    <x:t xml:space="preserve">冰爽一夏方案</x:t>
  </x:si>
  <x:si>
    <x:t xml:space="preserve">6月销售箱（截止6.14日）</x:t>
  </x:si>
  <x:si>
    <x:t xml:space="preserve">目标销量要求</x:t>
  </x:si>
  <x:si>
    <x:t xml:space="preserve">备注</x:t>
  </x:si>
  <x:si>
    <x:t xml:space="preserve">ANUEF049</x:t>
  </x:si>
  <x:si>
    <x:t xml:space="preserve">珠币</x:t>
  </x:si>
  <x:si>
    <x:t xml:space="preserve">420</x:t>
  </x:si>
  <x:si>
    <x:t xml:space="preserve">冰爽一夏A方案2026</x:t>
  </x:si>
  <x:si>
    <x:t xml:space="preserve">不达标</x:t>
  </x:si>
  <x:si>
    <x:t xml:space="preserve">ANUAB216</x:t>
  </x:si>
  <x:si>
    <x:t xml:space="preserve">ANUAA236</x:t>
  </x:si>
  <x:si>
    <x:t xml:space="preserve">AYXBG642</x:t>
  </x:si>
  <x:si>
    <x:t xml:space="preserve">ANLLC050061</x:t>
  </x:si>
  <x:si>
    <x:t xml:space="preserve">ANLLC060073</x:t>
  </x:si>
  <x:si>
    <x:t xml:space="preserve">ANLLC010078</x:t>
  </x:si>
  <x:si>
    <x:t xml:space="preserve">160</x:t>
  </x:si>
  <x:si>
    <x:t xml:space="preserve">冰爽一夏B2方案2026</x:t>
  </x:si>
  <x:si>
    <x:t xml:space="preserve">ANLLC030099</x:t>
  </x:si>
  <x:si>
    <x:t xml:space="preserve">AYXBG630</x:t>
  </x:si>
  <x:si>
    <x:t xml:space="preserve">ANUEF001</x:t>
  </x:si>
  <x:si>
    <x:t xml:space="preserve">136</x:t>
  </x:si>
  <x:si>
    <x:t xml:space="preserve">冰爽一夏C1方案2026</x:t>
  </x:si>
  <x:si>
    <x:t xml:space="preserve">ANUEF255</x:t>
  </x:si>
  <x:si>
    <x:t xml:space="preserve">5035478</x:t>
  </x:si>
  <x:si>
    <x:t xml:space="preserve">AYXBG631</x:t>
  </x:si>
  <x:si>
    <x:t xml:space="preserve">ANUAB235</x:t>
  </x:si>
  <x:si>
    <x:t xml:space="preserve">ANUEF004</x:t>
  </x:si>
  <x:si>
    <x:t xml:space="preserve">AYXBG703</x:t>
  </x:si>
  <x:si>
    <x:t xml:space="preserve">GZ12166</x:t>
  </x:si>
  <x:si>
    <x:t xml:space="preserve">ANUAB393</x:t>
  </x:si>
  <x:si>
    <x:t xml:space="preserve">冰爽一夏C2方案2026</x:t>
  </x:si>
  <x:si>
    <x:t xml:space="preserve">ANLLC030054</x:t>
  </x:si>
  <x:si>
    <x:t xml:space="preserve">ANLLCAC20001</x:t>
  </x:si>
  <x:si>
    <x:t xml:space="preserve">ANLLC3012</x:t>
  </x:si>
  <x:si>
    <x:t xml:space="preserve">ANUAB729</x:t>
  </x:si>
  <x:si>
    <x:t xml:space="preserve">240</x:t>
  </x:si>
  <x:si>
    <x:t xml:space="preserve">冰爽一夏K方案2026</x:t>
  </x:si>
  <x:si>
    <x:t xml:space="preserve">ANUAB668</x:t>
  </x:si>
  <x:si>
    <x:t xml:space="preserve">ANUAD578</x:t>
  </x:si>
  <x:si>
    <x:t xml:space="preserve">冰爽一夏B1方案2026</x:t>
  </x:si>
  <x:si>
    <x:t xml:space="preserve">ANUAB844</x:t>
  </x:si>
  <x:si>
    <x:t xml:space="preserve">ANLLC010023</x:t>
  </x:si>
  <x:si>
    <x:t xml:space="preserve">ANUDE551</x:t>
  </x:si>
  <x:si>
    <x:t xml:space="preserve">GZ12322</x:t>
  </x:si>
  <x:si>
    <x:t xml:space="preserve">ANUDE416</x:t>
  </x:si>
  <x:si>
    <x:t xml:space="preserve">GZ12718</x:t>
  </x:si>
  <x:si>
    <x:t xml:space="preserve">ANUAD024</x:t>
  </x:si>
  <x:si>
    <x:t xml:space="preserve">ANLLCAE60007</x:t>
  </x:si>
  <x:si>
    <x:t xml:space="preserve">BNLCE00004</x:t>
  </x:si>
  <x:si>
    <x:t xml:space="preserve">ANUAA460</x:t>
  </x:si>
  <x:si>
    <x:t xml:space="preserve">ANUAA670</x:t>
  </x:si>
  <x:si>
    <x:t xml:space="preserve">ANUAD373</x:t>
  </x:si>
  <x:si>
    <x:t xml:space="preserve">ANUAD1099</x:t>
  </x:si>
  <x:si>
    <x:t xml:space="preserve">ANUAD806</x:t>
  </x:si>
  <x:si>
    <x:t xml:space="preserve">ANUAD1025</x:t>
  </x:si>
  <x:si>
    <x:t xml:space="preserve">BNLCE00001</x:t>
  </x:si>
  <x:si>
    <x:t xml:space="preserve">ANUAD680</x:t>
  </x:si>
  <x:si>
    <x:t xml:space="preserve">ANUAD843</x:t>
  </x:si>
  <x:si>
    <x:t xml:space="preserve">ANUAD844</x:t>
  </x:si>
  <x:si>
    <x:t xml:space="preserve">ANUAA079</x:t>
  </x:si>
  <x:si>
    <x:t xml:space="preserve">ANUAD1094</x:t>
  </x:si>
  <x:si>
    <x:t xml:space="preserve">ANUAD302</x:t>
  </x:si>
  <x:si>
    <x:t xml:space="preserve">ANUAD766</x:t>
  </x:si>
  <x:si>
    <x:t xml:space="preserve">ANLLCAE50007</x:t>
  </x:si>
  <x:si>
    <x:t xml:space="preserve">ANUAD521</x:t>
  </x:si>
  <x:si>
    <x:t xml:space="preserve">ANUAD834</x:t>
  </x:si>
  <x:si>
    <x:t xml:space="preserve">ANUAD301</x:t>
  </x:si>
  <x:si>
    <x:t xml:space="preserve">ANLLC060086</x:t>
  </x:si>
  <x:si>
    <x:t xml:space="preserve">ANUAD768</x:t>
  </x:si>
  <x:si>
    <x:t xml:space="preserve">ANUAD349</x:t>
  </x:si>
  <x:si>
    <x:t xml:space="preserve">ANUAD859</x:t>
  </x:si>
  <x:si>
    <x:t xml:space="preserve">ANUAD944</x:t>
  </x:si>
  <x:si>
    <x:t xml:space="preserve">ANUAD842</x:t>
  </x:si>
  <x:si>
    <x:t xml:space="preserve">ANUAB119</x:t>
  </x:si>
  <x:si>
    <x:t xml:space="preserve">ANUAA687</x:t>
  </x:si>
  <x:si>
    <x:t xml:space="preserve">GZ11484</x:t>
  </x:si>
  <x:si>
    <x:t xml:space="preserve">ANUAB1405</x:t>
  </x:si>
  <x:si>
    <x:t xml:space="preserve">ANUAA697</x:t>
  </x:si>
  <x:si>
    <x:t xml:space="preserve">ANUAA623</x:t>
  </x:si>
</x:sst>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a46bb5e8d46d9" /><Relationship Type="http://schemas.openxmlformats.org/officeDocument/2006/relationships/theme" Target="/xl/theme/theme1.xml" Id="Rb392729538d24c53" /><Relationship Type="http://schemas.openxmlformats.org/officeDocument/2006/relationships/sharedStrings" Target="/xl/sharedStrings.xml" Id="Ra39348fcaf6f4de3" /><Relationship Type="http://schemas.openxmlformats.org/officeDocument/2006/relationships/worksheet" Target="/xl/worksheets/sheet1.xml" Id="R3dc7e37c93154377" /><Relationship Type="http://schemas.openxmlformats.org/officeDocument/2006/relationships/worksheet" Target="/xl/worksheets/sheet2.xml" Id="R0d3a7632fdc24eb4" /><Relationship Type="http://schemas.openxmlformats.org/officeDocument/2006/relationships/worksheet" Target="/xl/worksheets/sheet3.xml" Id="Rac45a76aa54e4105" /><Relationship Type="http://schemas.openxmlformats.org/officeDocument/2006/relationships/worksheet" Target="/xl/worksheets/sheet4.xml" Id="R31ac67bd9ade404d" /><Relationship Type="http://schemas.openxmlformats.org/officeDocument/2006/relationships/worksheet" Target="/xl/worksheets/sheet5.xml" Id="R26cad1bb27794e71" /><Relationship Type="http://schemas.openxmlformats.org/officeDocument/2006/relationships/worksheet" Target="/xl/worksheets/sheet6.xml" Id="Rfdd706474b23403b" /><Relationship Type="http://schemas.openxmlformats.org/officeDocument/2006/relationships/worksheet" Target="/xl/worksheets/sheet7.xml" Id="Re61f7cb71f8241d1" /><Relationship Type="http://schemas.openxmlformats.org/officeDocument/2006/relationships/worksheet" Target="/xl/worksheets/sheet8.xml" Id="R890735147c684470" /><Relationship Type="http://schemas.openxmlformats.org/officeDocument/2006/relationships/worksheet" Target="/xl/worksheets/sheet9.xml" Id="Re54917f47d6e42b0" /><Relationship Type="http://schemas.openxmlformats.org/officeDocument/2006/relationships/worksheet" Target="/xl/worksheets/sheet10.xml" Id="R2e3e077ac03b449b" /><Relationship Type="http://schemas.openxmlformats.org/officeDocument/2006/relationships/worksheet" Target="/xl/worksheets/sheet11.xml" Id="R5b330a91b8ba415a" /><Relationship Type="http://schemas.openxmlformats.org/officeDocument/2006/relationships/worksheet" Target="/xl/worksheets/sheet12.xml" Id="R100e32164642482f" /><Relationship Type="http://schemas.openxmlformats.org/officeDocument/2006/relationships/worksheet" Target="/xl/worksheets/sheet13.xml" Id="Rf18dddb809d74be4" /><Relationship Type="http://schemas.openxmlformats.org/officeDocument/2006/relationships/worksheet" Target="/xl/worksheets/sheet14.xml" Id="Rdc1b829a4b4a458c" /><Relationship Type="http://schemas.openxmlformats.org/officeDocument/2006/relationships/worksheet" Target="/xl/worksheets/sheet15.xml" Id="R62193b195e71470a" /><Relationship Type="http://schemas.openxmlformats.org/officeDocument/2006/relationships/worksheet" Target="/xl/worksheets/sheet16.xml" Id="R75f7063d40194638" /><Relationship Type="http://schemas.openxmlformats.org/officeDocument/2006/relationships/worksheet" Target="/xl/worksheets/sheet17.xml" Id="R9d3e75fb26664f4c" /><Relationship Type="http://schemas.openxmlformats.org/officeDocument/2006/relationships/worksheet" Target="/xl/worksheets/sheet18.xml" Id="Re7124e547f0e4893" /><Relationship Type="http://schemas.openxmlformats.org/officeDocument/2006/relationships/worksheet" Target="/xl/worksheets/sheet19.xml" Id="R95c58fd867ae4b8d" /><Relationship Type="http://schemas.openxmlformats.org/officeDocument/2006/relationships/worksheet" Target="/xl/worksheets/sheet20.xml" Id="Rd34e5942b08f4b5f" /><Relationship Type="http://schemas.openxmlformats.org/officeDocument/2006/relationships/worksheet" Target="/xl/worksheets/sheet21.xml" Id="Rcbca1c533a964e33" /><Relationship Type="http://schemas.openxmlformats.org/officeDocument/2006/relationships/worksheet" Target="/xl/worksheets/sheet22.xml" Id="R577a1e3a133b451f" /><Relationship Type="http://schemas.openxmlformats.org/officeDocument/2006/relationships/worksheet" Target="/xl/worksheets/sheet23.xml" Id="R5fd5eb2c80b24a8f" /><Relationship Type="http://schemas.openxmlformats.org/officeDocument/2006/relationships/worksheet" Target="/xl/worksheets/sheet24.xml" Id="R73866eee8ff54494" /><Relationship Type="http://schemas.openxmlformats.org/officeDocument/2006/relationships/worksheet" Target="/xl/worksheets/sheet25.xml" Id="R2a894c0635d94bc0" /><Relationship Type="http://schemas.openxmlformats.org/officeDocument/2006/relationships/worksheet" Target="/xl/worksheets/sheet26.xml" Id="R9f75b687c69c496e" /><Relationship Type="http://schemas.openxmlformats.org/officeDocument/2006/relationships/worksheet" Target="/xl/worksheets/sheet27.xml" Id="Rcdc052d887034053" /><Relationship Type="http://schemas.openxmlformats.org/officeDocument/2006/relationships/worksheet" Target="/xl/worksheets/sheet28.xml" Id="Reb09f603168244c3" /><Relationship Type="http://schemas.openxmlformats.org/officeDocument/2006/relationships/worksheet" Target="/xl/worksheets/sheet29.xml" Id="Rfa6a9a1c06b74d24" /><Relationship Type="http://schemas.openxmlformats.org/officeDocument/2006/relationships/worksheet" Target="/xl/worksheets/sheet30.xml" Id="Rb6bc72faad2945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4.25" hidden="0" customWidth="1"/>
    <x:col min="3" max="3" width="16.75" hidden="0" customWidth="1"/>
    <x:col min="4" max="4" width="16.75" hidden="0" customWidth="1"/>
    <x:col min="5" max="5" width="16.75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7.6299991607666" hidden="0" customWidth="1"/>
    <x:col min="10" max="10" width="10.380000114440918" hidden="0" customWidth="1"/>
    <x:col min="11" max="11" width="10.380000114440918" hidden="0" customWidth="1"/>
    <x:col min="12" max="12" width="10.380000114440918" hidden="0" customWidth="1"/>
    <x:col min="13" max="13" width="10.380000114440918" hidden="0" customWidth="1"/>
    <x:col min="14" max="14" width="10.380000114440918" hidden="0" customWidth="1"/>
    <x:col min="15" max="15" width="7.880000114440918" hidden="0" customWidth="1"/>
    <x:col min="16" max="16" width="5.25" hidden="0" customWidth="1"/>
    <x:col min="17" max="17" width="16.75" hidden="0" customWidth="1"/>
    <x:col min="18" max="18" width="16.75" hidden="0" customWidth="1"/>
    <x:col min="19" max="19" width="16.75" hidden="0" customWidth="1"/>
    <x:col min="20" max="20" width="16.75" hidden="0" customWidth="1"/>
    <x:col min="22" max="22" width="7.880000114440918" hidden="0" customWidth="1"/>
    <x:col min="23" max="23" width="16.75" hidden="0" customWidth="1"/>
    <x:col min="24" max="24" width="10.380000114440918" hidden="0" customWidth="1"/>
    <x:col min="25" max="25" width="16.75" hidden="0" customWidth="1"/>
    <x:col min="26" max="26" width="10.380000114440918" hidden="0" customWidth="1"/>
    <x:col min="28" max="28" width="8.5" hidden="0" customWidth="1"/>
    <x:col min="29" max="29" width="12.130000114440918" hidden="0" customWidth="1"/>
    <x:col min="30" max="30" width="12.130000114440918" hidden="0" customWidth="1"/>
    <x:col min="31" max="31" width="10.880000114440918" hidden="0" customWidth="1"/>
  </x:cols>
  <x:sheetData>
    <x:row r="1">
      <x:c r="A1"/>
      <x:c r="B1"/>
      <x:c r="C1" t="s">
        <x:v>0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 t="s">
        <x:v>1</x:v>
      </x:c>
      <x:c r="R1"/>
      <x:c r="S1"/>
      <x:c r="T1"/>
      <x:c r="U1"/>
      <x:c r="V1"/>
      <x:c r="W1" t="s">
        <x:v>2</x:v>
      </x:c>
      <x:c r="X1"/>
      <x:c r="Y1"/>
      <x:c r="Z1"/>
      <x:c r="AA1"/>
      <x:c r="AB1"/>
      <x:c r="AC1"/>
      <x:c r="AD1"/>
      <x:c r="AE1"/>
    </x:row>
    <x:row r="2">
      <x:c r="A2" t="s">
        <x:v>3</x:v>
      </x:c>
      <x:c r="B2"/>
      <x:c r="C2" t="s">
        <x:v>4</x:v>
      </x:c>
      <x:c r="D2" t="s">
        <x:v>5</x:v>
      </x:c>
      <x:c r="E2" t="s">
        <x:v>6</x:v>
      </x:c>
      <x:c r="F2" t="s">
        <x:v>7</x:v>
      </x:c>
      <x:c r="G2" t="s">
        <x:v>8</x:v>
      </x:c>
      <x:c r="H2" t="s">
        <x:v>9</x:v>
      </x:c>
      <x:c r="I2" t="s">
        <x:v>10</x:v>
      </x:c>
      <x:c r="J2" t="s">
        <x:v>11</x:v>
      </x:c>
      <x:c r="K2" t="s">
        <x:v>12</x:v>
      </x:c>
      <x:c r="L2" t="s">
        <x:v>13</x:v>
      </x:c>
      <x:c r="M2" t="s">
        <x:v>14</x:v>
      </x:c>
      <x:c r="N2" t="s">
        <x:v>15</x:v>
      </x:c>
      <x:c r="O2" t="s">
        <x:v>16</x:v>
      </x:c>
      <x:c r="P2"/>
      <x:c r="Q2" t="s">
        <x:v>4</x:v>
      </x:c>
      <x:c r="R2" t="s">
        <x:v>5</x:v>
      </x:c>
      <x:c r="S2" t="s">
        <x:v>6</x:v>
      </x:c>
      <x:c r="T2" t="s">
        <x:v>7</x:v>
      </x:c>
      <x:c r="U2"/>
      <x:c r="V2" t="s">
        <x:v>16</x:v>
      </x:c>
      <x:c r="W2" t="s">
        <x:v>4</x:v>
      </x:c>
      <x:c r="X2" t="s">
        <x:v>5</x:v>
      </x:c>
      <x:c r="Y2" t="s">
        <x:v>6</x:v>
      </x:c>
      <x:c r="Z2" t="s">
        <x:v>7</x:v>
      </x:c>
      <x:c r="AA2"/>
      <x:c r="AB2" t="s">
        <x:v>16</x:v>
      </x:c>
      <x:c r="AC2"/>
      <x:c r="AD2"/>
      <x:c r="AE2"/>
    </x:row>
    <x:row r="3">
      <x:c r="A3" t="str">
        <x:v>销售员001</x:v>
      </x:c>
      <x:c r="B3"/>
      <x:c r="C3" t="str">
        <x:v>8735.已脱敏电话001</x:v>
      </x:c>
      <x:c r="D3" t="str">
        <x:v>4585.已脱敏电话002</x:v>
      </x:c>
      <x:c r="E3" t="str">
        <x:v>9219.已脱敏电话003</x:v>
      </x:c>
      <x:c r="F3">
        <x:v>10754.5902760606</x:v>
      </x:c>
      <x:c r="G3">
        <x:v>12880.4976562121</x:v>
      </x:c>
      <x:c r="H3">
        <x:v>14704.761159697</x:v>
      </x:c>
      <x:c r="I3">
        <x:v>13955.1987958485</x:v>
      </x:c>
      <x:c r="J3">
        <x:v>14003.8008149697</x:v>
      </x:c>
      <x:c r="K3">
        <x:v>13884.2318737879</x:v>
      </x:c>
      <x:c r="L3">
        <x:v>10004.2700242424</x:v>
      </x:c>
      <x:c r="M3">
        <x:v>7050.24745668182</x:v>
      </x:c>
      <x:c r="N3">
        <x:v>5276.35671818182</x:v>
      </x:c>
      <x:c r="O3" t="n">
        <x:f>SUM(C3:H3)</x:f>
        <x:v>0</x:v>
      </x:c>
      <x:c r="P3"/>
      <x:c r="Q3" t="str">
        <x:v>2106.已脱敏电话004</x:v>
      </x:c>
      <x:c r="R3">
        <x:v>1011.87809536364</x:v>
      </x:c>
      <x:c r="S3">
        <x:v>2111.50713666667</x:v>
      </x:c>
      <x:c r="T3">
        <x:v>2358.30667212121</x:v>
      </x:c>
      <x:c r="U3"/>
      <x:c r="V3" t="n">
        <x:f>SUM(Q3:T3)</x:f>
        <x:v>0</x:v>
      </x:c>
      <x:c r="W3">
        <x:v>731.602222545453</x:v>
      </x:c>
      <x:c r="X3">
        <x:v>351.512005363636</x:v>
      </x:c>
      <x:c r="Y3">
        <x:v>733.507436666665</x:v>
      </x:c>
      <x:c r="Z3">
        <x:v>819.24207212121</x:v>
      </x:c>
      <x:c r="AA3"/>
      <x:c r="AB3" t="n">
        <x:f>SUM(W3:Z3)</x:f>
        <x:v>0</x:v>
      </x:c>
      <x:c r="AC3"/>
      <x:c r="AD3"/>
      <x:c r="AE3"/>
    </x:row>
    <x:row r="4">
      <x:c r="A4" t="str">
        <x:v>销售员002</x:v>
      </x:c>
      <x:c r="B4"/>
      <x:c r="C4">
        <x:v>11277.7832672576</x:v>
      </x:c>
      <x:c r="D4">
        <x:v>5928.86817986363</x:v>
      </x:c>
      <x:c r="E4">
        <x:v>11913.2583451212</x:v>
      </x:c>
      <x:c r="F4">
        <x:v>13907.6821448485</x:v>
      </x:c>
      <x:c r="G4">
        <x:v>16656.8751269697</x:v>
      </x:c>
      <x:c r="H4">
        <x:v>19038.7632007576</x:v>
      </x:c>
      <x:c r="I4" t="str">
        <x:v>18058.已脱敏电话005</x:v>
      </x:c>
      <x:c r="J4">
        <x:v>18128.5642348485</x:v>
      </x:c>
      <x:c r="K4">
        <x:v>17973.5252716667</x:v>
      </x:c>
      <x:c r="L4">
        <x:v>12937.3787393939</x:v>
      </x:c>
      <x:c r="M4">
        <x:v>9093.88124059091</x:v>
      </x:c>
      <x:c r="N4">
        <x:v>6802.60292272727</x:v>
      </x:c>
      <x:c r="O4" t="n">
        <x:f>SUM(C4:H4)</x:f>
        <x:v>0</x:v>
      </x:c>
      <x:c r="P4"/>
      <x:c r="Q4">
        <x:v>2564.45608727272</x:v>
      </x:c>
      <x:c r="R4" t="str">
        <x:v>1232.已脱敏电话006</x:v>
      </x:c>
      <x:c r="S4" t="str">
        <x:v>2571.已脱敏电话007</x:v>
      </x:c>
      <x:c r="T4">
        <x:v>2871.6565560606</x:v>
      </x:c>
      <x:c r="U4"/>
      <x:c r="V4" t="n">
        <x:f>SUM(Q4:T4)</x:f>
        <x:v>0</x:v>
      </x:c>
      <x:c r="W4" t="str">
        <x:v>1270.已脱敏电话008</x:v>
      </x:c>
      <x:c r="X4">
        <x:v>610.262358681817</x:v>
      </x:c>
      <x:c r="Y4">
        <x:v>1273.44719833333</x:v>
      </x:c>
      <x:c r="Z4">
        <x:v>1422.2916760606</x:v>
      </x:c>
      <x:c r="AA4"/>
      <x:c r="AB4" t="n">
        <x:f>SUM(W4:Z4)</x:f>
        <x:v>0</x:v>
      </x:c>
      <x:c r="AC4"/>
      <x:c r="AD4"/>
      <x:c r="AE4"/>
    </x:row>
    <x:row r="5">
      <x:c r="A5" t="str">
        <x:v>销售员003</x:v>
      </x:c>
      <x:c r="B5"/>
      <x:c r="C5" t="str">
        <x:v>8615.已脱敏电话010</x:v>
      </x:c>
      <x:c r="D5">
        <x:v>4517.29708897727</x:v>
      </x:c>
      <x:c r="E5">
        <x:v>9086.52953377272</x:v>
      </x:c>
      <x:c r="F5">
        <x:v>10594.5954395455</x:v>
      </x:c>
      <x:c r="G5">
        <x:v>12688.8759334091</x:v>
      </x:c>
      <x:c r="H5">
        <x:v>14473.8958764394</x:v>
      </x:c>
      <x:c r="I5">
        <x:v>13741.5367662197</x:v>
      </x:c>
      <x:c r="J5">
        <x:v>13785.3443270303</x:v>
      </x:c>
      <x:c r="K5">
        <x:v>13667.7742759091</x:v>
      </x:c>
      <x:c r="L5">
        <x:v>9855.43761818181</x:v>
      </x:c>
      <x:c r="M5">
        <x:v>6957.79602474242</x:v>
      </x:c>
      <x:c r="N5">
        <x:v>5208.86476439394</x:v>
      </x:c>
      <x:c r="O5" t="n">
        <x:f>SUM(C5:H5)</x:f>
        <x:v>0</x:v>
      </x:c>
      <x:c r="P5"/>
      <x:c r="Q5">
        <x:v>2159.20093672727</x:v>
      </x:c>
      <x:c r="R5">
        <x:v>1037.42857506818</x:v>
      </x:c>
      <x:c r="S5">
        <x:v>2164.82385583333</x:v>
      </x:c>
      <x:c r="T5">
        <x:v>2417.85521560606</x:v>
      </x:c>
      <x:c r="U5"/>
      <x:c r="V5" t="n">
        <x:f>SUM(Q5:T5)</x:f>
        <x:v>0</x:v>
      </x:c>
      <x:c r="W5">
        <x:v>647.760040727271</x:v>
      </x:c>
      <x:c r="X5">
        <x:v>311.228457068181</x:v>
      </x:c>
      <x:c r="Y5">
        <x:v>649.446915833332</x:v>
      </x:c>
      <x:c r="Z5">
        <x:v>725.356295606059</x:v>
      </x:c>
      <x:c r="AA5"/>
      <x:c r="AB5" t="n">
        <x:f>SUM(W5:Z5)</x:f>
        <x:v>0</x:v>
      </x:c>
      <x:c r="AC5"/>
      <x:c r="AD5"/>
      <x:c r="AE5"/>
    </x:row>
    <x:row r="6">
      <x:c r="A6" t="str">
        <x:v>销售员004</x:v>
      </x:c>
      <x:c r="B6"/>
      <x:c r="C6">
        <x:v>9796.72309815606</x:v>
      </x:c>
      <x:c r="D6">
        <x:v>5145.31735517273</x:v>
      </x:c>
      <x:c r="E6">
        <x:v>10342.8767056364</x:v>
      </x:c>
      <x:c r="F6">
        <x:v>12068.8687419091</x:v>
      </x:c>
      <x:c r="G6">
        <x:v>14454.5753536818</x:v>
      </x:c>
      <x:c r="H6">
        <x:v>16509.1322561212</x:v>
      </x:c>
      <x:c r="I6">
        <x:v>15664.2901928606</x:v>
      </x:c>
      <x:c r="J6">
        <x:v>15721.306292103</x:v>
      </x:c>
      <x:c r="K6">
        <x:v>15586.9915128636</x:v>
      </x:c>
      <x:c r="L6">
        <x:v>11226.8546436364</x:v>
      </x:c>
      <x:c r="M6">
        <x:v>7904.27438119242</x:v>
      </x:c>
      <x:c r="N6">
        <x:v>5914.47251212121</x:v>
      </x:c>
      <x:c r="O6" t="n">
        <x:f>SUM(C6:H6)</x:f>
        <x:v>0</x:v>
      </x:c>
      <x:c r="P6"/>
      <x:c r="Q6" t="str">
        <x:v>2312.已脱敏电话011</x:v>
      </x:c>
      <x:c r="R6">
        <x:v>1110.85675221818</x:v>
      </x:c>
      <x:c r="S6" t="str">
        <x:v>2318.已脱敏电话012</x:v>
      </x:c>
      <x:c r="T6">
        <x:v>2588.98863660606</x:v>
      </x:c>
      <x:c r="U6"/>
      <x:c r="V6" t="n">
        <x:f>SUM(Q6:T6)</x:f>
        <x:v>0</x:v>
      </x:c>
      <x:c r="W6">
        <x:v>1091.23261672727</x:v>
      </x:c>
      <x:c r="X6">
        <x:v>524.303171318181</x:v>
      </x:c>
      <x:c r="Y6" t="str">
        <x:v>1094.已脱敏电话013</x:v>
      </x:c>
      <x:c r="Z6">
        <x:v>1221.95319060606</x:v>
      </x:c>
      <x:c r="AA6"/>
      <x:c r="AB6" t="n">
        <x:f>SUM(W6:Z6)</x:f>
        <x:v>0</x:v>
      </x:c>
      <x:c r="AC6"/>
      <x:c r="AD6"/>
      <x:c r="AE6"/>
    </x:row>
    <x:row r="7">
      <x:c r="A7" t="str">
        <x:v>销售员005</x:v>
      </x:c>
      <x:c r="B7"/>
      <x:c r="C7">
        <x:v>4611.74122894545</x:v>
      </x:c>
      <x:c r="D7" t="str">
        <x:v>2221.已脱敏电话014</x:v>
      </x:c>
      <x:c r="E7">
        <x:v>4629.97385199999</x:v>
      </x:c>
      <x:c r="F7">
        <x:v>5177.31999345453</x:v>
      </x:c>
      <x:c r="G7">
        <x:v>6200.7437130909</x:v>
      </x:c>
      <x:c r="H7">
        <x:v>6576.44480472726</x:v>
      </x:c>
      <x:c r="I7">
        <x:v>6466.85607276362</x:v>
      </x:c>
      <x:c r="J7">
        <x:v>6321.22740858181</x:v>
      </x:c>
      <x:c r="K7">
        <x:v>6272.80278836363</x:v>
      </x:c>
      <x:c r="L7">
        <x:v>4816.11162181817</x:v>
      </x:c>
      <x:c r="M7">
        <x:v>3910.24299578181</x:v>
      </x:c>
      <x:c r="N7">
        <x:v>2996.89456363636</x:v>
      </x:c>
      <x:c r="O7" t="n">
        <x:f>SUM(C7:H7)</x:f>
        <x:v>0</x:v>
      </x:c>
      <x:c r="P7"/>
      <x:c r="Q7">
        <x:v>4522.28162094545</x:v>
      </x:c>
      <x:c r="R7">
        <x:v>2172.81499756363</x:v>
      </x:c>
      <x:c r="S7" t="str">
        <x:v>4534.已脱敏电话015</x:v>
      </x:c>
      <x:c r="T7" t="str">
        <x:v>5064.已脱敏电话016</x:v>
      </x:c>
      <x:c r="U7"/>
      <x:c r="V7" t="n">
        <x:f>SUM(Q7:T7)</x:f>
        <x:v>0</x:v>
      </x:c>
      <x:c r="W7">
        <x:v>4190.65630254545</x:v>
      </x:c>
      <x:c r="X7">
        <x:v>2013.47939536363</x:v>
      </x:c>
      <x:c r="Y7">
        <x:v>4201.56946999999</x:v>
      </x:c>
      <x:c r="Z7">
        <x:v>4692.66200545454</x:v>
      </x:c>
      <x:c r="AA7"/>
      <x:c r="AB7" t="n">
        <x:f>SUM(W7:Z7)</x:f>
        <x:v>0</x:v>
      </x:c>
      <x:c r="AC7"/>
      <x:c r="AD7"/>
      <x:c r="AE7"/>
    </x:row>
    <x:row r="8">
      <x:c r="A8" t="str">
        <x:v>销售员006</x:v>
      </x:c>
      <x:c r="B8"/>
      <x:c r="C8">
        <x:v>3796.39295394545</x:v>
      </x:c>
      <x:c r="D8">
        <x:v>1828.63202731363</x:v>
      </x:c>
      <x:c r="E8">
        <x:v>3811.72441416666</x:v>
      </x:c>
      <x:c r="F8">
        <x:v>4262.65846512121</x:v>
      </x:c>
      <x:c r="G8">
        <x:v>5105.27699892423</x:v>
      </x:c>
      <x:c r="H8">
        <x:v>5415.3529055606</x:v>
      </x:c>
      <x:c r="I8">
        <x:v>5324.75048718029</x:v>
      </x:c>
      <x:c r="J8">
        <x:v>5205.10146791514</x:v>
      </x:c>
      <x:c r="K8">
        <x:v>5165.2182650303</x:v>
      </x:c>
      <x:c r="L8">
        <x:v>3965.26368848484</x:v>
      </x:c>
      <x:c r="M8">
        <x:v>3218.66292711515</x:v>
      </x:c>
      <x:c r="N8">
        <x:v>2466.76150530303</x:v>
      </x:c>
      <x:c r="O8" t="n">
        <x:f>SUM(C8:H8)</x:f>
        <x:v>0</x:v>
      </x:c>
      <x:c r="P8"/>
      <x:c r="Q8">
        <x:v>3718.11579694545</x:v>
      </x:c>
      <x:c r="R8">
        <x:v>1786.43844931363</x:v>
      </x:c>
      <x:c r="S8">
        <x:v>3727.79839016666</x:v>
      </x:c>
      <x:c r="T8">
        <x:v>4163.5150851212</x:v>
      </x:c>
      <x:c r="U8"/>
      <x:c r="V8" t="n">
        <x:f>SUM(Q8:T8)</x:f>
        <x:v>0</x:v>
      </x:c>
      <x:c r="W8">
        <x:v>3296.51144494545</x:v>
      </x:c>
      <x:c r="X8">
        <x:v>1583.87073331363</x:v>
      </x:c>
      <x:c r="Y8" t="str">
        <x:v>3305.已脱敏电话018</x:v>
      </x:c>
      <x:c r="Z8">
        <x:v>3691.4060451212</x:v>
      </x:c>
      <x:c r="AA8"/>
      <x:c r="AB8" t="n">
        <x:f>SUM(W8:Z8)</x:f>
        <x:v>0</x:v>
      </x:c>
      <x:c r="AC8"/>
      <x:c r="AD8"/>
      <x:c r="AE8"/>
    </x:row>
    <x:row r="9">
      <x:c r="A9" t="str">
        <x:v>销售员007</x:v>
      </x:c>
      <x:c r="B9"/>
      <x:c r="C9">
        <x:v>46832.8446284257</x:v>
      </x:c>
      <x:c r="D9">
        <x:v>24226.3310681636</x:v>
      </x:c>
      <x:c r="E9">
        <x:v>49003.421689303</x:v>
      </x:c>
      <x:c r="F9">
        <x:v>56765.7150609394</x:v>
      </x:c>
      <x:c r="G9">
        <x:v>67986.8447822878</x:v>
      </x:c>
      <x:c r="H9">
        <x:v>76718.350203303</x:v>
      </x:c>
      <x:c r="I9">
        <x:v>73210.6838832515</x:v>
      </x:c>
      <x:c r="J9">
        <x:v>73165.3445454484</x:v>
      </x:c>
      <x:c r="K9">
        <x:v>72550.5439876212</x:v>
      </x:c>
      <x:c r="L9">
        <x:v>52805.3163357575</x:v>
      </x:c>
      <x:c r="M9">
        <x:v>38135.1050261045</x:v>
      </x:c>
      <x:c r="N9">
        <x:v>28665.9529863636</x:v>
      </x:c>
      <x:c r="O9" t="n">
        <x:f>SUM(C9:H9)</x:f>
        <x:v>0</x:v>
      </x:c>
      <x:c r="P9"/>
      <x:c r="Q9" t="n">
        <x:f>SUM(Q3:Q8)</x:f>
        <x:v>0</x:v>
      </x:c>
      <x:c r="R9" t="n">
        <x:f>SUM(R3:R8)</x:f>
        <x:v>0</x:v>
      </x:c>
      <x:c r="S9" t="n">
        <x:f>SUM(S3:S8)</x:f>
        <x:v>0</x:v>
      </x:c>
      <x:c r="T9">
        <x:v>19464.3354389697</x:v>
      </x:c>
      <x:c r="U9"/>
      <x:c r="V9" t="n">
        <x:f>SUM(Q9:T9)</x:f>
        <x:v>0</x:v>
      </x:c>
      <x:c r="W9" t="n">
        <x:f>SUM(W3:W8)</x:f>
        <x:v>0</x:v>
      </x:c>
      <x:c r="X9" t="n">
        <x:f>SUM(X3:X8)</x:f>
        <x:v>0</x:v>
      </x:c>
      <x:c r="Y9" t="n">
        <x:f>SUM(Y3:Y8)</x:f>
        <x:v>0</x:v>
      </x:c>
      <x:c r="Z9">
        <x:v>12572.9112849697</x:v>
      </x:c>
      <x:c r="AA9"/>
      <x:c r="AB9" t="n">
        <x:f>SUM(W9:Z9)</x:f>
        <x:v>0</x:v>
      </x:c>
      <x:c r="AC9"/>
      <x:c r="AD9"/>
      <x:c r="AE9"/>
    </x:row>
    <x:row r="10">
      <x:c r="A10" t="s">
        <x:v>3</x:v>
      </x:c>
      <x:c r="B10"/>
      <x:c r="C10" t="s">
        <x:v>4</x:v>
      </x:c>
      <x:c r="D10" t="s">
        <x:v>5</x:v>
      </x:c>
      <x:c r="E10" t="s">
        <x:v>6</x:v>
      </x:c>
      <x:c r="F10" t="s">
        <x:v>7</x:v>
      </x:c>
      <x:c r="G10" t="s">
        <x:v>8</x:v>
      </x:c>
      <x:c r="H10" t="s">
        <x:v>9</x:v>
      </x:c>
      <x:c r="I10" t="s">
        <x:v>10</x:v>
      </x:c>
      <x:c r="J10" t="s">
        <x:v>11</x:v>
      </x:c>
      <x:c r="K10" t="s">
        <x:v>12</x:v>
      </x:c>
      <x:c r="L10" t="s">
        <x:v>13</x:v>
      </x:c>
      <x:c r="M10" t="s">
        <x:v>14</x:v>
      </x:c>
      <x:c r="N10" t="s">
        <x:v>15</x:v>
      </x:c>
      <x:c r="O10" t="s">
        <x:v>16</x:v>
      </x:c>
      <x:c r="P10" t="s">
        <x:v>17</x:v>
      </x:c>
      <x:c r="Q10" t="s">
        <x:v>4</x:v>
      </x:c>
      <x:c r="R10" t="s">
        <x:v>5</x:v>
      </x:c>
      <x:c r="S10" t="s">
        <x:v>6</x:v>
      </x:c>
      <x:c r="T10" t="s">
        <x:v>7</x:v>
      </x:c>
      <x:c r="U10"/>
      <x:c r="V10" t="s">
        <x:v>16</x:v>
      </x:c>
      <x:c r="W10" t="s">
        <x:v>4</x:v>
      </x:c>
      <x:c r="X10" t="s">
        <x:v>5</x:v>
      </x:c>
      <x:c r="Y10" t="s">
        <x:v>6</x:v>
      </x:c>
      <x:c r="Z10" t="s">
        <x:v>7</x:v>
      </x:c>
      <x:c r="AA10"/>
      <x:c r="AB10" t="s">
        <x:v>16</x:v>
      </x:c>
      <x:c r="AC10" t="s">
        <x:v>18</x:v>
      </x:c>
      <x:c r="AD10" t="s">
        <x:v>19</x:v>
      </x:c>
      <x:c r="AE10" t="s">
        <x:v>20</x:v>
      </x:c>
    </x:row>
    <x:row r="11">
      <x:c r="A11" t="str">
        <x:v>销售员003</x:v>
      </x:c>
      <x:c r="B11"/>
      <x:c r="C11" t="str">
        <x:v>8615.已脱敏电话010</x:v>
      </x:c>
      <x:c r="D11">
        <x:v>4517.29708897727</x:v>
      </x:c>
      <x:c r="E11">
        <x:v>9086.52953377272</x:v>
      </x:c>
      <x:c r="F11" t="str">
        <x:f>F5</x:f>
        <x:v>10594.5954395455</x:v>
      </x:c>
      <x:c r="G11" t="str">
        <x:f>G5</x:f>
        <x:v>12688.8759334091</x:v>
      </x:c>
      <x:c r="H11" t="str">
        <x:f>H5</x:f>
        <x:v>14473.8958764394</x:v>
      </x:c>
      <x:c r="I11" t="str">
        <x:f>I5</x:f>
        <x:v>13741.5367662197</x:v>
      </x:c>
      <x:c r="J11" t="str">
        <x:f>J5</x:f>
        <x:v>13785.3443270303</x:v>
      </x:c>
      <x:c r="K11" t="str">
        <x:f>K5</x:f>
        <x:v>13667.7742759091</x:v>
      </x:c>
      <x:c r="L11" t="str">
        <x:f>L5</x:f>
        <x:v>9855.43761818181</x:v>
      </x:c>
      <x:c r="M11" t="str">
        <x:f>M5</x:f>
        <x:v>6957.79602474242</x:v>
      </x:c>
      <x:c r="N11" t="str">
        <x:f>N5</x:f>
        <x:v>5208.86476439394</x:v>
      </x:c>
      <x:c r="O11" t="n">
        <x:f>O5</x:f>
        <x:v>0</x:v>
      </x:c>
      <x:c r="P11" t="n">
        <x:f>SUM(C11:G11)</x:f>
        <x:v>0</x:v>
      </x:c>
      <x:c r="Q11" t="str">
        <x:f>Q5</x:f>
        <x:v>2159.20093672727</x:v>
      </x:c>
      <x:c r="R11" t="str">
        <x:f>R5</x:f>
        <x:v>1037.42857506818</x:v>
      </x:c>
      <x:c r="S11" t="str">
        <x:f>S5</x:f>
        <x:v>2164.82385583333</x:v>
      </x:c>
      <x:c r="T11" t="str">
        <x:f>T5</x:f>
        <x:v>2417.85521560606</x:v>
      </x:c>
      <x:c r="U11"/>
      <x:c r="V11" t="n">
        <x:f>V5</x:f>
        <x:v>0</x:v>
      </x:c>
      <x:c r="W11" t="str">
        <x:f>W5</x:f>
        <x:v>647.760040727271</x:v>
      </x:c>
      <x:c r="X11" t="str">
        <x:f>X5</x:f>
        <x:v>311.228457068181</x:v>
      </x:c>
      <x:c r="Y11" t="str">
        <x:f>Y5</x:f>
        <x:v>649.446915833332</x:v>
      </x:c>
      <x:c r="Z11" t="str">
        <x:f>Z5</x:f>
        <x:v>725.356295606059</x:v>
      </x:c>
      <x:c r="AA11"/>
      <x:c r="AB11" t="n">
        <x:f>AB5</x:f>
        <x:v>0</x:v>
      </x:c>
      <x:c r="AC11">
        <x:v>49584.08287</x:v>
      </x:c>
      <x:c r="AD11">
        <x:v>40846</x:v>
      </x:c>
      <x:c r="AE11" t="n">
        <x:f>(AC11-AD11)/AD11*1</x:f>
        <x:v>0.21392750501885124</x:v>
      </x:c>
    </x:row>
    <x:row r="12">
      <x:c r="A12" t="str">
        <x:v>销售员004</x:v>
      </x:c>
      <x:c r="B12"/>
      <x:c r="C12">
        <x:v>9796.72309815606</x:v>
      </x:c>
      <x:c r="D12">
        <x:v>5145.31735517273</x:v>
      </x:c>
      <x:c r="E12">
        <x:v>10342.8767056364</x:v>
      </x:c>
      <x:c r="F12" t="str">
        <x:f>F6</x:f>
        <x:v>12068.8687419091</x:v>
      </x:c>
      <x:c r="G12" t="str">
        <x:f>G6</x:f>
        <x:v>14454.5753536818</x:v>
      </x:c>
      <x:c r="H12" t="str">
        <x:f>H6</x:f>
        <x:v>16509.1322561212</x:v>
      </x:c>
      <x:c r="I12" t="str">
        <x:f>I6</x:f>
        <x:v>15664.2901928606</x:v>
      </x:c>
      <x:c r="J12" t="str">
        <x:f>J6</x:f>
        <x:v>15721.306292103</x:v>
      </x:c>
      <x:c r="K12" t="str">
        <x:f>K6</x:f>
        <x:v>15586.9915128636</x:v>
      </x:c>
      <x:c r="L12" t="str">
        <x:f>L6</x:f>
        <x:v>11226.8546436364</x:v>
      </x:c>
      <x:c r="M12" t="str">
        <x:f>M6</x:f>
        <x:v>7904.27438119242</x:v>
      </x:c>
      <x:c r="N12" t="str">
        <x:f>N6</x:f>
        <x:v>5914.47251212121</x:v>
      </x:c>
      <x:c r="O12" t="n">
        <x:f>O6</x:f>
        <x:v>0</x:v>
      </x:c>
      <x:c r="P12" t="n">
        <x:f>SUM(C12:G12)</x:f>
        <x:v>0</x:v>
      </x:c>
      <x:c r="Q12" t="str">
        <x:f>Q6</x:f>
        <x:v>2312.已脱敏电话011</x:v>
      </x:c>
      <x:c r="R12" t="str">
        <x:f>R6</x:f>
        <x:v>1110.85675221818</x:v>
      </x:c>
      <x:c r="S12" t="str">
        <x:f>S6</x:f>
        <x:v>2318.已脱敏电话012</x:v>
      </x:c>
      <x:c r="T12" t="str">
        <x:f>T6</x:f>
        <x:v>2588.98863660606</x:v>
      </x:c>
      <x:c r="U12"/>
      <x:c r="V12" t="n">
        <x:f>V6</x:f>
        <x:v>0</x:v>
      </x:c>
      <x:c r="W12" t="str">
        <x:f>W6</x:f>
        <x:v>1091.23261672727</x:v>
      </x:c>
      <x:c r="X12" t="str">
        <x:f>X6</x:f>
        <x:v>524.303171318181</x:v>
      </x:c>
      <x:c r="Y12" t="str">
        <x:f>Y6</x:f>
        <x:v>1094.已脱敏电话013</x:v>
      </x:c>
      <x:c r="Z12" t="str">
        <x:f>Z6</x:f>
        <x:v>1221.95319060606</x:v>
      </x:c>
      <x:c r="AA12"/>
      <x:c r="AB12" t="n">
        <x:f>AB6</x:f>
        <x:v>0</x:v>
      </x:c>
      <x:c r="AC12">
        <x:v>52609.33287</x:v>
      </x:c>
      <x:c r="AD12">
        <x:v>56157.996</x:v>
      </x:c>
      <x:c r="AE12" t="n">
        <x:f>(AC12-AD12)/AD12*1</x:f>
        <x:v>-0.06319070092885795</x:v>
      </x:c>
    </x:row>
    <x:row r="13">
      <x:c r="A13" t="str">
        <x:v>销售员002</x:v>
      </x:c>
      <x:c r="B13"/>
      <x:c r="C13">
        <x:v>11277.7832672576</x:v>
      </x:c>
      <x:c r="D13">
        <x:v>5928.86817986363</x:v>
      </x:c>
      <x:c r="E13">
        <x:v>11913.2583451212</x:v>
      </x:c>
      <x:c r="F13" t="str">
        <x:f>F4</x:f>
        <x:v>13907.6821448485</x:v>
      </x:c>
      <x:c r="G13" t="str">
        <x:f>G4</x:f>
        <x:v>16656.8751269697</x:v>
      </x:c>
      <x:c r="H13" t="str">
        <x:f>H4</x:f>
        <x:v>19038.7632007576</x:v>
      </x:c>
      <x:c r="I13" t="str">
        <x:f>I4</x:f>
        <x:v>18058.已脱敏电话005</x:v>
      </x:c>
      <x:c r="J13" t="str">
        <x:f>J4</x:f>
        <x:v>18128.5642348485</x:v>
      </x:c>
      <x:c r="K13" t="str">
        <x:f>K4</x:f>
        <x:v>17973.5252716667</x:v>
      </x:c>
      <x:c r="L13" t="str">
        <x:f>L4</x:f>
        <x:v>12937.3787393939</x:v>
      </x:c>
      <x:c r="M13" t="str">
        <x:f>M4</x:f>
        <x:v>9093.88124059091</x:v>
      </x:c>
      <x:c r="N13" t="str">
        <x:f>N4</x:f>
        <x:v>6802.60292272727</x:v>
      </x:c>
      <x:c r="O13" t="n">
        <x:f>O4</x:f>
        <x:v>0</x:v>
      </x:c>
      <x:c r="P13" t="n">
        <x:f>SUM(C13:G13)</x:f>
        <x:v>0</x:v>
      </x:c>
      <x:c r="Q13" t="str">
        <x:f>Q4</x:f>
        <x:v>2564.45608727272</x:v>
      </x:c>
      <x:c r="R13" t="str">
        <x:f>R4</x:f>
        <x:v>1232.已脱敏电话006</x:v>
      </x:c>
      <x:c r="S13" t="str">
        <x:f>S4</x:f>
        <x:v>2571.已脱敏电话007</x:v>
      </x:c>
      <x:c r="T13" t="str">
        <x:f>T4</x:f>
        <x:v>2871.6565560606</x:v>
      </x:c>
      <x:c r="U13"/>
      <x:c r="V13" t="n">
        <x:f>V4</x:f>
        <x:v>0</x:v>
      </x:c>
      <x:c r="W13" t="str">
        <x:f>W4</x:f>
        <x:v>1270.已脱敏电话008</x:v>
      </x:c>
      <x:c r="X13" t="str">
        <x:f>X4</x:f>
        <x:v>610.262358681817</x:v>
      </x:c>
      <x:c r="Y13" t="str">
        <x:f>Y4</x:f>
        <x:v>1273.44719833333</x:v>
      </x:c>
      <x:c r="Z13" t="str">
        <x:f>Z4</x:f>
        <x:v>1422.2916760606</x:v>
      </x:c>
      <x:c r="AA13"/>
      <x:c r="AB13" t="n">
        <x:f>AB4</x:f>
        <x:v>0</x:v>
      </x:c>
      <x:c r="AC13">
        <x:v>60934.24987</x:v>
      </x:c>
      <x:c r="AD13">
        <x:v>63354.904</x:v>
      </x:c>
      <x:c r="AE13" t="n">
        <x:f>(AC13-AD13)/AD13*1</x:f>
        <x:v>-0.038207841495584975</x:v>
      </x:c>
    </x:row>
    <x:row r="14">
      <x:c r="A14" t="str">
        <x:v>销售员001</x:v>
      </x:c>
      <x:c r="B14"/>
      <x:c r="C14" t="str">
        <x:v>8735.已脱敏电话001</x:v>
      </x:c>
      <x:c r="D14" t="str">
        <x:v>4585.已脱敏电话002</x:v>
      </x:c>
      <x:c r="E14" t="str">
        <x:v>9219.已脱敏电话003</x:v>
      </x:c>
      <x:c r="F14" t="str">
        <x:f>F3</x:f>
        <x:v>10754.5902760606</x:v>
      </x:c>
      <x:c r="G14" t="str">
        <x:f>G3</x:f>
        <x:v>12880.4976562121</x:v>
      </x:c>
      <x:c r="H14" t="str">
        <x:f>H3</x:f>
        <x:v>14704.761159697</x:v>
      </x:c>
      <x:c r="I14" t="str">
        <x:f>I3</x:f>
        <x:v>13955.1987958485</x:v>
      </x:c>
      <x:c r="J14" t="str">
        <x:f>J3</x:f>
        <x:v>14003.8008149697</x:v>
      </x:c>
      <x:c r="K14" t="str">
        <x:f>K3</x:f>
        <x:v>13884.2318737879</x:v>
      </x:c>
      <x:c r="L14" t="str">
        <x:f>L3</x:f>
        <x:v>10004.2700242424</x:v>
      </x:c>
      <x:c r="M14" t="str">
        <x:f>M3</x:f>
        <x:v>7050.24745668182</x:v>
      </x:c>
      <x:c r="N14" t="str">
        <x:f>N3</x:f>
        <x:v>5276.35671818182</x:v>
      </x:c>
      <x:c r="O14" t="n">
        <x:f>O3</x:f>
        <x:v>0</x:v>
      </x:c>
      <x:c r="P14" t="n">
        <x:f>SUM(C14:G14)</x:f>
        <x:v>0</x:v>
      </x:c>
      <x:c r="Q14" t="str">
        <x:f>Q3</x:f>
        <x:v>2106.已脱敏电话004</x:v>
      </x:c>
      <x:c r="R14" t="str">
        <x:f>R3</x:f>
        <x:v>1011.87809536364</x:v>
      </x:c>
      <x:c r="S14" t="str">
        <x:f>S3</x:f>
        <x:v>2111.50713666667</x:v>
      </x:c>
      <x:c r="T14" t="str">
        <x:f>T3</x:f>
        <x:v>2358.30667212121</x:v>
      </x:c>
      <x:c r="U14"/>
      <x:c r="V14" t="n">
        <x:f>V3</x:f>
        <x:v>0</x:v>
      </x:c>
      <x:c r="W14" t="str">
        <x:f>W3</x:f>
        <x:v>731.602222545453</x:v>
      </x:c>
      <x:c r="X14" t="str">
        <x:f>X3</x:f>
        <x:v>351.512005363636</x:v>
      </x:c>
      <x:c r="Y14" t="str">
        <x:f>Y3</x:f>
        <x:v>733.507436666665</x:v>
      </x:c>
      <x:c r="Z14" t="str">
        <x:f>Z3</x:f>
        <x:v>819.24207212121</x:v>
      </x:c>
      <x:c r="AA14"/>
      <x:c r="AB14" t="n">
        <x:f>AB3</x:f>
        <x:v>0</x:v>
      </x:c>
      <x:c r="AC14">
        <x:v>46970.58323</x:v>
      </x:c>
      <x:c r="AD14">
        <x:v>43920.4</x:v>
      </x:c>
      <x:c r="AE14" t="n">
        <x:f>(AC14-AD14)/AD14*1</x:f>
        <x:v>0.06944798385260596</x:v>
      </x:c>
    </x:row>
    <x:row r="15">
      <x:c r="A15" t="str">
        <x:v>销售员006</x:v>
      </x:c>
      <x:c r="B15"/>
      <x:c r="C15">
        <x:v>3796.39295394545</x:v>
      </x:c>
      <x:c r="D15">
        <x:v>1828.63202731363</x:v>
      </x:c>
      <x:c r="E15">
        <x:v>3811.72441416666</x:v>
      </x:c>
      <x:c r="F15" t="str">
        <x:f>F8</x:f>
        <x:v>4262.65846512121</x:v>
      </x:c>
      <x:c r="G15" t="str">
        <x:f>G8</x:f>
        <x:v>5105.27699892423</x:v>
      </x:c>
      <x:c r="H15" t="str">
        <x:f>H8</x:f>
        <x:v>5415.3529055606</x:v>
      </x:c>
      <x:c r="I15" t="str">
        <x:f>I8</x:f>
        <x:v>5324.75048718029</x:v>
      </x:c>
      <x:c r="J15" t="str">
        <x:f>J8</x:f>
        <x:v>5205.10146791514</x:v>
      </x:c>
      <x:c r="K15" t="str">
        <x:f>K8</x:f>
        <x:v>5165.2182650303</x:v>
      </x:c>
      <x:c r="L15" t="str">
        <x:f>L8</x:f>
        <x:v>3965.26368848484</x:v>
      </x:c>
      <x:c r="M15" t="str">
        <x:f>M8</x:f>
        <x:v>3218.66292711515</x:v>
      </x:c>
      <x:c r="N15" t="str">
        <x:f>N8</x:f>
        <x:v>2466.76150530303</x:v>
      </x:c>
      <x:c r="O15" t="n">
        <x:f>O8</x:f>
        <x:v>0</x:v>
      </x:c>
      <x:c r="P15" t="n">
        <x:f>SUM(C15:G15)</x:f>
        <x:v>0</x:v>
      </x:c>
      <x:c r="Q15" t="str">
        <x:f>Q8</x:f>
        <x:v>3718.11579694545</x:v>
      </x:c>
      <x:c r="R15" t="str">
        <x:f>R8</x:f>
        <x:v>1786.43844931363</x:v>
      </x:c>
      <x:c r="S15" t="str">
        <x:f>S8</x:f>
        <x:v>3727.79839016666</x:v>
      </x:c>
      <x:c r="T15" t="str">
        <x:f>T8</x:f>
        <x:v>4163.5150851212</x:v>
      </x:c>
      <x:c r="U15"/>
      <x:c r="V15" t="n">
        <x:f>V8</x:f>
        <x:v>0</x:v>
      </x:c>
      <x:c r="W15" t="str">
        <x:f>W8</x:f>
        <x:v>3296.51144494545</x:v>
      </x:c>
      <x:c r="X15" t="str">
        <x:f>X8</x:f>
        <x:v>1583.87073331363</x:v>
      </x:c>
      <x:c r="Y15" t="str">
        <x:f>Y8</x:f>
        <x:v>3305.已脱敏电话018</x:v>
      </x:c>
      <x:c r="Z15" t="str">
        <x:f>Z8</x:f>
        <x:v>3691.4060451212</x:v>
      </x:c>
      <x:c r="AA15"/>
      <x:c r="AB15" t="n">
        <x:f>AB8</x:f>
        <x:v>0</x:v>
      </x:c>
      <x:c r="AC15">
        <x:v>19169</x:v>
      </x:c>
      <x:c r="AD15">
        <x:v>17926.9</x:v>
      </x:c>
      <x:c r="AE15" t="n">
        <x:f>(AC15-AD15)/AD15*1</x:f>
        <x:v>0.06928693750732132</x:v>
      </x:c>
    </x:row>
    <x:row r="16">
      <x:c r="A16" t="str">
        <x:v>销售员005</x:v>
      </x:c>
      <x:c r="B16"/>
      <x:c r="C16">
        <x:v>4611.74122894545</x:v>
      </x:c>
      <x:c r="D16" t="str">
        <x:v>2221.已脱敏电话014</x:v>
      </x:c>
      <x:c r="E16">
        <x:v>4629.97385199999</x:v>
      </x:c>
      <x:c r="F16" t="str">
        <x:f>F7</x:f>
        <x:v>5177.31999345453</x:v>
      </x:c>
      <x:c r="G16" t="str">
        <x:f>G7</x:f>
        <x:v>6200.7437130909</x:v>
      </x:c>
      <x:c r="H16" t="str">
        <x:f>H7</x:f>
        <x:v>6576.44480472726</x:v>
      </x:c>
      <x:c r="I16" t="str">
        <x:f>I7</x:f>
        <x:v>6466.85607276362</x:v>
      </x:c>
      <x:c r="J16" t="str">
        <x:f>J7</x:f>
        <x:v>6321.22740858181</x:v>
      </x:c>
      <x:c r="K16" t="str">
        <x:f>K7</x:f>
        <x:v>6272.80278836363</x:v>
      </x:c>
      <x:c r="L16" t="str">
        <x:f>L7</x:f>
        <x:v>4816.11162181817</x:v>
      </x:c>
      <x:c r="M16" t="str">
        <x:f>M7</x:f>
        <x:v>3910.24299578181</x:v>
      </x:c>
      <x:c r="N16" t="str">
        <x:f>N7</x:f>
        <x:v>2996.89456363636</x:v>
      </x:c>
      <x:c r="O16" t="n">
        <x:f>O7</x:f>
        <x:v>0</x:v>
      </x:c>
      <x:c r="P16" t="n">
        <x:f>SUM(C16:G16)</x:f>
        <x:v>0</x:v>
      </x:c>
      <x:c r="Q16" t="str">
        <x:f>Q7</x:f>
        <x:v>4522.28162094545</x:v>
      </x:c>
      <x:c r="R16" t="str">
        <x:f>R7</x:f>
        <x:v>2172.81499756363</x:v>
      </x:c>
      <x:c r="S16" t="str">
        <x:f>S7</x:f>
        <x:v>4534.已脱敏电话015</x:v>
      </x:c>
      <x:c r="T16" t="str">
        <x:f>T7</x:f>
        <x:v>5064.已脱敏电话016</x:v>
      </x:c>
      <x:c r="U16"/>
      <x:c r="V16" t="n">
        <x:f>V7</x:f>
        <x:v>0</x:v>
      </x:c>
      <x:c r="W16" t="str">
        <x:f>W7</x:f>
        <x:v>4190.65630254545</x:v>
      </x:c>
      <x:c r="X16" t="str">
        <x:f>X7</x:f>
        <x:v>2013.47939536363</x:v>
      </x:c>
      <x:c r="Y16" t="str">
        <x:f>Y7</x:f>
        <x:v>4201.56946999999</x:v>
      </x:c>
      <x:c r="Z16" t="str">
        <x:f>Z7</x:f>
        <x:v>4692.66200545454</x:v>
      </x:c>
      <x:c r="AA16"/>
      <x:c r="AB16" t="n">
        <x:f>AB7</x:f>
        <x:v>0</x:v>
      </x:c>
      <x:c r="AC16">
        <x:v>24109.08332</x:v>
      </x:c>
      <x:c r="AD16">
        <x:v>20050.4</x:v>
      </x:c>
      <x:c r="AE16" t="n">
        <x:f>(AC16-AD16)/AD16*1</x:f>
        <x:v>0.20242405737541394</x:v>
      </x:c>
    </x:row>
    <x:row r="17">
      <x:c r="A17" t="str">
        <x:v>销售员007</x:v>
      </x:c>
      <x:c r="B17"/>
      <x:c r="C17">
        <x:v>46832.8446284257</x:v>
      </x:c>
      <x:c r="D17">
        <x:v>24226.3310681636</x:v>
      </x:c>
      <x:c r="E17">
        <x:v>49003.421689303</x:v>
      </x:c>
      <x:c r="F17" t="str">
        <x:f>F9</x:f>
        <x:v>56765.7150609394</x:v>
      </x:c>
      <x:c r="G17" t="str">
        <x:f>G9</x:f>
        <x:v>67986.8447822878</x:v>
      </x:c>
      <x:c r="H17" t="str">
        <x:f>H9</x:f>
        <x:v>76718.350203303</x:v>
      </x:c>
      <x:c r="I17" t="str">
        <x:f>I9</x:f>
        <x:v>73210.6838832515</x:v>
      </x:c>
      <x:c r="J17" t="str">
        <x:f>J9</x:f>
        <x:v>73165.3445454484</x:v>
      </x:c>
      <x:c r="K17" t="str">
        <x:f>K9</x:f>
        <x:v>72550.5439876212</x:v>
      </x:c>
      <x:c r="L17" t="str">
        <x:f>L9</x:f>
        <x:v>52805.3163357575</x:v>
      </x:c>
      <x:c r="M17" t="str">
        <x:f>M9</x:f>
        <x:v>38135.1050261045</x:v>
      </x:c>
      <x:c r="N17" t="str">
        <x:f>N9</x:f>
        <x:v>28665.9529863636</x:v>
      </x:c>
      <x:c r="O17" t="n">
        <x:f>O9</x:f>
        <x:v>0</x:v>
      </x:c>
      <x:c r="P17" t="n">
        <x:f>SUM(C17:G17)</x:f>
        <x:v>0</x:v>
      </x:c>
      <x:c r="Q17" t="n">
        <x:f>Q9</x:f>
        <x:v>0</x:v>
      </x:c>
      <x:c r="R17" t="n">
        <x:f>R9</x:f>
        <x:v>0</x:v>
      </x:c>
      <x:c r="S17" t="n">
        <x:f>S9</x:f>
        <x:v>0</x:v>
      </x:c>
      <x:c r="T17" t="str">
        <x:f>T9</x:f>
        <x:v>19464.3354389697</x:v>
      </x:c>
      <x:c r="U17"/>
      <x:c r="V17" t="n">
        <x:f>V9</x:f>
        <x:v>0</x:v>
      </x:c>
      <x:c r="W17" t="n">
        <x:f>W9</x:f>
        <x:v>0</x:v>
      </x:c>
      <x:c r="X17" t="n">
        <x:f>X9</x:f>
        <x:v>0</x:v>
      </x:c>
      <x:c r="Y17" t="n">
        <x:f>Y9</x:f>
        <x:v>0</x:v>
      </x:c>
      <x:c r="Z17" t="str">
        <x:f>Z9</x:f>
        <x:v>12572.9112849697</x:v>
      </x:c>
      <x:c r="AA17"/>
      <x:c r="AB17" t="n">
        <x:f>AB9</x:f>
        <x:v>0</x:v>
      </x:c>
      <x:c r="AC17" t="n">
        <x:f>SUM(AC11:AC16)</x:f>
        <x:v>0</x:v>
      </x:c>
      <x:c r="AD17" t="n">
        <x:f>SUM(AD11:AD16)</x:f>
        <x:v>0</x:v>
      </x:c>
      <x:c r="AE17" t="e">
        <x:f>(AC17-AD17)/AD17*1</x:f>
        <x:v>#DIV/0!</x:v>
      </x:c>
    </x:row>
    <x:row r="18">
      <x:c r="A18" t="s">
        <x:v>21</x:v>
      </x:c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</x:row>
    <x:row r="19">
      <x:c r="A19" t="s">
        <x:v>3</x:v>
      </x:c>
      <x:c r="B19"/>
      <x:c r="C19" t="s">
        <x:v>22</x:v>
      </x:c>
      <x:c r="D19" t="s">
        <x:v>23</x:v>
      </x:c>
      <x:c r="E19" t="s">
        <x:v>24</x:v>
      </x:c>
      <x:c r="F19" t="s">
        <x:v>25</x:v>
      </x:c>
      <x:c r="G19" t="s">
        <x:v>26</x:v>
      </x:c>
      <x:c r="H19" t="s">
        <x:v>27</x:v>
      </x:c>
      <x:c r="I19" t="s">
        <x:v>28</x:v>
      </x:c>
      <x:c r="J19" t="s">
        <x:v>29</x:v>
      </x:c>
      <x:c r="K19" t="s">
        <x:v>30</x:v>
      </x:c>
      <x:c r="L19" t="s">
        <x:v>31</x:v>
      </x:c>
      <x:c r="M19" t="s">
        <x:v>32</x:v>
      </x:c>
      <x:c r="N19" t="s">
        <x:v>33</x:v>
      </x:c>
      <x:c r="O19" t="s">
        <x:v>34</x:v>
      </x:c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</x:row>
    <x:row r="20">
      <x:c r="A20" t="str">
        <x:v>销售员003</x:v>
      </x:c>
      <x:c r="B20"/>
      <x:c r="C20">
        <x:v>8865.08335</x:v>
      </x:c>
      <x:c r="D20">
        <x:v>4871.33333</x:v>
      </x:c>
      <x:c r="E20">
        <x:v>10426.08335</x:v>
      </x:c>
      <x:c r="F20">
        <x:v>11980.41667</x:v>
      </x:c>
      <x:c r="G20">
        <x:v>13441.16617</x:v>
      </x:c>
      <x:c r="H20">
        <x:v>16029</x:v>
      </x:c>
      <x:c r="I20"/>
      <x:c r="J20"/>
      <x:c r="K20"/>
      <x:c r="L20"/>
      <x:c r="M20"/>
      <x:c r="N20"/>
      <x:c r="O20" t="n">
        <x:f>SUM(C20:N20)</x:f>
        <x:v>0</x:v>
      </x:c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</x:row>
    <x:row r="21">
      <x:c r="A21" t="str">
        <x:v>销售员004</x:v>
      </x:c>
      <x:c r="B21"/>
      <x:c r="C21">
        <x:v>9857.8333</x:v>
      </x:c>
      <x:c r="D21">
        <x:v>5249</x:v>
      </x:c>
      <x:c r="E21">
        <x:v>10636.08331</x:v>
      </x:c>
      <x:c r="F21">
        <x:v>12385.74994</x:v>
      </x:c>
      <x:c r="G21">
        <x:v>14480.66632</x:v>
      </x:c>
      <x:c r="H21">
        <x:v>16559.3</x:v>
      </x:c>
      <x:c r="I21"/>
      <x:c r="J21"/>
      <x:c r="K21"/>
      <x:c r="L21"/>
      <x:c r="M21"/>
      <x:c r="N21"/>
      <x:c r="O21" t="n">
        <x:f>SUM(C21:N21)</x:f>
        <x:v>0</x:v>
      </x:c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</x:row>
    <x:row r="22">
      <x:c r="A22" t="str">
        <x:v>销售员002</x:v>
      </x:c>
      <x:c r="B22"/>
      <x:c r="C22">
        <x:v>11351.24997</x:v>
      </x:c>
      <x:c r="D22">
        <x:v>6036.83333</x:v>
      </x:c>
      <x:c r="E22">
        <x:v>12188.08335</x:v>
      </x:c>
      <x:c r="F22">
        <x:v>14456.83333</x:v>
      </x:c>
      <x:c r="G22">
        <x:v>16901.24989</x:v>
      </x:c>
      <x:c r="H22">
        <x:v>13539.2</x:v>
      </x:c>
      <x:c r="I22"/>
      <x:c r="J22"/>
      <x:c r="K22"/>
      <x:c r="L22"/>
      <x:c r="M22"/>
      <x:c r="N22"/>
      <x:c r="O22" t="n">
        <x:f>SUM(C22:N22)</x:f>
        <x:v>0</x:v>
      </x:c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</x:row>
    <x:row r="23">
      <x:c r="A23" t="str">
        <x:v>销售员001</x:v>
      </x:c>
      <x:c r="B23"/>
      <x:c r="C23">
        <x:v>8787.33337</x:v>
      </x:c>
      <x:c r="D23">
        <x:v>4727.58333</x:v>
      </x:c>
      <x:c r="E23">
        <x:v>9288.16666</x:v>
      </x:c>
      <x:c r="F23">
        <x:v>11155.91667</x:v>
      </x:c>
      <x:c r="G23">
        <x:v>13011.5832</x:v>
      </x:c>
      <x:c r="H23">
        <x:v>14730.9</x:v>
      </x:c>
      <x:c r="I23"/>
      <x:c r="J23"/>
      <x:c r="K23"/>
      <x:c r="L23"/>
      <x:c r="M23"/>
      <x:c r="N23"/>
      <x:c r="O23" t="n">
        <x:f>SUM(C23:N23)</x:f>
        <x:v>0</x:v>
      </x:c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</x:row>
    <x:row r="24">
      <x:c r="A24" t="str">
        <x:v>销售员006</x:v>
      </x:c>
      <x:c r="B24"/>
      <x:c r="C24">
        <x:v>3840.66667</x:v>
      </x:c>
      <x:c r="D24">
        <x:v>2021</x:v>
      </x:c>
      <x:c r="E24">
        <x:v>3858.83333</x:v>
      </x:c>
      <x:c r="F24">
        <x:v>4325.66667</x:v>
      </x:c>
      <x:c r="G24">
        <x:v>5122.83333</x:v>
      </x:c>
      <x:c r="H24">
        <x:v>4418</x:v>
      </x:c>
      <x:c r="I24"/>
      <x:c r="J24"/>
      <x:c r="K24"/>
      <x:c r="L24"/>
      <x:c r="M24"/>
      <x:c r="N24"/>
      <x:c r="O24" t="n">
        <x:f>SUM(C24:N24)</x:f>
        <x:v>0</x:v>
      </x:c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</x:row>
    <x:row r="25">
      <x:c r="A25" t="str">
        <x:v>销售员005</x:v>
      </x:c>
      <x:c r="B25"/>
      <x:c r="C25">
        <x:v>4772.83333</x:v>
      </x:c>
      <x:c r="D25">
        <x:v>2545</x:v>
      </x:c>
      <x:c r="E25">
        <x:v>4965</x:v>
      </x:c>
      <x:c r="F25">
        <x:v>5239</x:v>
      </x:c>
      <x:c r="G25">
        <x:v>6587.24999</x:v>
      </x:c>
      <x:c r="H25">
        <x:v>7296.2</x:v>
      </x:c>
      <x:c r="I25"/>
      <x:c r="J25"/>
      <x:c r="K25"/>
      <x:c r="L25"/>
      <x:c r="M25"/>
      <x:c r="N25"/>
      <x:c r="O25" t="n">
        <x:f>SUM(C25:N25)</x:f>
        <x:v>0</x:v>
      </x:c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</x:row>
    <x:row r="26">
      <x:c r="A26" t="str">
        <x:v>销售员007</x:v>
      </x:c>
      <x:c r="B26"/>
      <x:c r="C26" t="n">
        <x:f>SUM(C20:C25)</x:f>
        <x:v>0</x:v>
      </x:c>
      <x:c r="D26" t="n">
        <x:f>SUM(D20:D25)</x:f>
        <x:v>0</x:v>
      </x:c>
      <x:c r="E26" t="n">
        <x:f>SUM(E20:E25)</x:f>
        <x:v>0</x:v>
      </x:c>
      <x:c r="F26" t="n">
        <x:f>SUM(F20:F25)</x:f>
        <x:v>0</x:v>
      </x:c>
      <x:c r="G26" t="n">
        <x:f>SUM(G20:G25)</x:f>
        <x:v>0</x:v>
      </x:c>
      <x:c r="H26" t="n">
        <x:f>SUM(H20:H25)</x:f>
        <x:v>0</x:v>
      </x:c>
      <x:c r="I26" t="n">
        <x:f>SUM(I20:I25)</x:f>
        <x:v>0</x:v>
      </x:c>
      <x:c r="J26" t="n">
        <x:f>SUM(J20:J25)</x:f>
        <x:v>0</x:v>
      </x:c>
      <x:c r="K26" t="n">
        <x:f>SUM(K20:K25)</x:f>
        <x:v>0</x:v>
      </x:c>
      <x:c r="L26" t="n">
        <x:f>SUM(L20:L25)</x:f>
        <x:v>0</x:v>
      </x:c>
      <x:c r="M26" t="n">
        <x:f>SUM(M20:M25)</x:f>
        <x:v>0</x:v>
      </x:c>
      <x:c r="N26" t="n">
        <x:f>SUM(N20:N25)</x:f>
        <x:v>0</x:v>
      </x:c>
      <x:c r="O26" t="n">
        <x:f>SUM(O20:O25)</x:f>
        <x:v>0</x:v>
      </x:c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</x:row>
    <x:row r="27">
      <x:c r="A27" t="s">
        <x:v>35</x:v>
      </x:c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</x:row>
    <x:row r="28">
      <x:c r="A28" t="s">
        <x:v>3</x:v>
      </x:c>
      <x:c r="B28" t="s">
        <x:v>36</x:v>
      </x:c>
      <x:c r="C28" t="s">
        <x:v>37</x:v>
      </x:c>
      <x:c r="D28" t="s">
        <x:v>38</x:v>
      </x:c>
      <x:c r="E28" t="s">
        <x:v>39</x:v>
      </x:c>
      <x:c r="F28" t="s">
        <x:v>40</x:v>
      </x:c>
      <x:c r="G28" t="s">
        <x:v>41</x:v>
      </x:c>
      <x:c r="H28" t="s">
        <x:v>42</x:v>
      </x:c>
      <x:c r="I28" t="s">
        <x:v>43</x:v>
      </x:c>
      <x:c r="J28" t="s">
        <x:v>44</x:v>
      </x:c>
      <x:c r="K28" t="s">
        <x:v>45</x:v>
      </x:c>
      <x:c r="L28" t="s">
        <x:v>46</x:v>
      </x:c>
      <x:c r="M28" t="s">
        <x:v>47</x:v>
      </x:c>
      <x:c r="N28" t="s">
        <x:v>48</x:v>
      </x:c>
      <x:c r="O28" t="s">
        <x:v>35</x:v>
      </x:c>
      <x:c r="P28" t="s">
        <x:v>21</x:v>
      </x:c>
      <x:c r="Q28"/>
      <x:c r="R28"/>
      <x:c r="S28"/>
      <x:c r="T28"/>
      <x:c r="U28"/>
      <x:c r="V28"/>
      <x:c r="W28"/>
      <x:c r="X28"/>
      <x:c r="Y28"/>
      <x:c r="Z28"/>
      <x:c r="AA28"/>
      <x:c r="AB28" t="s">
        <x:v>49</x:v>
      </x:c>
      <x:c r="AC28" t="s">
        <x:v>20</x:v>
      </x:c>
      <x:c r="AD28"/>
      <x:c r="AE28"/>
    </x:row>
    <x:row r="29">
      <x:c r="A29" t="str">
        <x:v>销售员003</x:v>
      </x:c>
      <x:c r="B29" t="n">
        <x:f>O11</x:f>
        <x:v>0</x:v>
      </x:c>
      <x:c r="C29" t="e">
        <x:f>C20/C11</x:f>
        <x:v>#VALUE!</x:v>
      </x:c>
      <x:c r="D29" t="n">
        <x:f>D20/D11</x:f>
        <x:v>1.0783734684811013</x:v>
      </x:c>
      <x:c r="E29" t="n">
        <x:f>E20/E11</x:f>
        <x:v>1.1474219404942714</x:v>
      </x:c>
      <x:c r="F29" t="n">
        <x:f>F20/F11</x:f>
        <x:v>1.130804544483291</x:v>
      </x:c>
      <x:c r="G29" t="n">
        <x:f>G20/G11</x:f>
        <x:v>1.0592873821557482</x:v>
      </x:c>
      <x:c r="H29" t="n">
        <x:f>H20/H11</x:f>
        <x:v>1.107441986375762</x:v>
      </x:c>
      <x:c r="I29" t="n">
        <x:f>I20/I11</x:f>
        <x:v>0</x:v>
      </x:c>
      <x:c r="J29" t="n">
        <x:f>J20/J11</x:f>
        <x:v>0</x:v>
      </x:c>
      <x:c r="K29" t="n">
        <x:f>K20/K11</x:f>
        <x:v>0</x:v>
      </x:c>
      <x:c r="L29" t="n">
        <x:f>L20/L11</x:f>
        <x:v>0</x:v>
      </x:c>
      <x:c r="M29" t="n">
        <x:f>M20/M11</x:f>
        <x:v>0</x:v>
      </x:c>
      <x:c r="N29" t="n">
        <x:f>N20/N11</x:f>
        <x:v>0</x:v>
      </x:c>
      <x:c r="O29" t="e">
        <x:f>O20/O11</x:f>
        <x:v>#DIV/0!</x:v>
      </x:c>
      <x:c r="P29" t="n">
        <x:f>O20</x:f>
        <x:v>0</x:v>
      </x:c>
      <x:c r="Q29"/>
      <x:c r="R29"/>
      <x:c r="S29"/>
      <x:c r="T29"/>
      <x:c r="U29"/>
      <x:c r="V29"/>
      <x:c r="W29"/>
      <x:c r="X29"/>
      <x:c r="Y29"/>
      <x:c r="Z29"/>
      <x:c r="AA29"/>
      <x:c r="AB29">
        <x:v>40846</x:v>
      </x:c>
      <x:c r="AC29" t="n">
        <x:f>(P29-AB29)/AB29*1</x:f>
        <x:v>-1</x:v>
      </x:c>
      <x:c r="AD29"/>
      <x:c r="AE29"/>
    </x:row>
    <x:row r="30">
      <x:c r="A30" t="str">
        <x:v>销售员004</x:v>
      </x:c>
      <x:c r="B30" t="n">
        <x:f>O12</x:f>
        <x:v>0</x:v>
      </x:c>
      <x:c r="C30" t="n">
        <x:f>C21/C12</x:f>
        <x:v>1.006237820670408</x:v>
      </x:c>
      <x:c r="D30" t="n">
        <x:f>D21/D12</x:f>
        <x:v>1.0201508746050494</x:v>
      </x:c>
      <x:c r="E30" t="n">
        <x:f>E21/E12</x:f>
        <x:v>1.0283486512223254</x:v>
      </x:c>
      <x:c r="F30" t="n">
        <x:f>F21/F12</x:f>
        <x:v>1.0262560812340704</x:v>
      </x:c>
      <x:c r="G30" t="n">
        <x:f>G21/G12</x:f>
        <x:v>1.001805031671965</x:v>
      </x:c>
      <x:c r="H30" t="n">
        <x:f>H21/H12</x:f>
        <x:v>1.0030387874480924</x:v>
      </x:c>
      <x:c r="I30" t="n">
        <x:f>I21/I12</x:f>
        <x:v>0</x:v>
      </x:c>
      <x:c r="J30" t="n">
        <x:f>J21/J12</x:f>
        <x:v>0</x:v>
      </x:c>
      <x:c r="K30" t="n">
        <x:f>K21/K12</x:f>
        <x:v>0</x:v>
      </x:c>
      <x:c r="L30" t="n">
        <x:f>L21/L12</x:f>
        <x:v>0</x:v>
      </x:c>
      <x:c r="M30" t="n">
        <x:f>M21/M12</x:f>
        <x:v>0</x:v>
      </x:c>
      <x:c r="N30" t="n">
        <x:f>N21/N12</x:f>
        <x:v>0</x:v>
      </x:c>
      <x:c r="O30" t="e">
        <x:f>O21/O12</x:f>
        <x:v>#DIV/0!</x:v>
      </x:c>
      <x:c r="P30" t="n">
        <x:f>O21</x:f>
        <x:v>0</x:v>
      </x:c>
      <x:c r="Q30"/>
      <x:c r="R30"/>
      <x:c r="S30"/>
      <x:c r="T30"/>
      <x:c r="U30"/>
      <x:c r="V30"/>
      <x:c r="W30"/>
      <x:c r="X30"/>
      <x:c r="Y30"/>
      <x:c r="Z30"/>
      <x:c r="AA30"/>
      <x:c r="AB30">
        <x:v>56157.996</x:v>
      </x:c>
      <x:c r="AC30" t="n">
        <x:f>(P30-AB30)/AB30*1</x:f>
        <x:v>-1</x:v>
      </x:c>
      <x:c r="AD30"/>
      <x:c r="AE30"/>
    </x:row>
    <x:row r="31">
      <x:c r="A31" t="str">
        <x:v>销售员002</x:v>
      </x:c>
      <x:c r="B31" t="n">
        <x:f>O13</x:f>
        <x:v>0</x:v>
      </x:c>
      <x:c r="C31" t="n">
        <x:f>C22/C13</x:f>
        <x:v>1.0065142857422782</x:v>
      </x:c>
      <x:c r="D31" t="n">
        <x:f>D22/D13</x:f>
        <x:v>1.018210077684482</x:v>
      </x:c>
      <x:c r="E31" t="n">
        <x:f>E22/E13</x:f>
        <x:v>1.0230688361586107</x:v>
      </x:c>
      <x:c r="F31" t="n">
        <x:f>F22/F13</x:f>
        <x:v>1.0394854569893164</x:v>
      </x:c>
      <x:c r="G31" t="n">
        <x:f>G22/G13</x:f>
        <x:v>1.0146711049442056</x:v>
      </x:c>
      <x:c r="H31" t="n">
        <x:f>H22/H13</x:f>
        <x:v>0.7111386310777394</x:v>
      </x:c>
      <x:c r="I31" t="e">
        <x:f>I22/I13</x:f>
        <x:v>#VALUE!</x:v>
      </x:c>
      <x:c r="J31" t="n">
        <x:f>J22/J13</x:f>
        <x:v>0</x:v>
      </x:c>
      <x:c r="K31" t="n">
        <x:f>K22/K13</x:f>
        <x:v>0</x:v>
      </x:c>
      <x:c r="L31" t="n">
        <x:f>L22/L13</x:f>
        <x:v>0</x:v>
      </x:c>
      <x:c r="M31" t="n">
        <x:f>M22/M13</x:f>
        <x:v>0</x:v>
      </x:c>
      <x:c r="N31" t="n">
        <x:f>N22/N13</x:f>
        <x:v>0</x:v>
      </x:c>
      <x:c r="O31" t="e">
        <x:f>O22/O13</x:f>
        <x:v>#DIV/0!</x:v>
      </x:c>
      <x:c r="P31" t="n">
        <x:f>O22</x:f>
        <x:v>0</x:v>
      </x:c>
      <x:c r="Q31"/>
      <x:c r="R31"/>
      <x:c r="S31"/>
      <x:c r="T31"/>
      <x:c r="U31"/>
      <x:c r="V31"/>
      <x:c r="W31"/>
      <x:c r="X31"/>
      <x:c r="Y31"/>
      <x:c r="Z31"/>
      <x:c r="AA31"/>
      <x:c r="AB31">
        <x:v>63354.904</x:v>
      </x:c>
      <x:c r="AC31" t="n">
        <x:f>(P31-AB31)/AB31*1</x:f>
        <x:v>-1</x:v>
      </x:c>
      <x:c r="AD31"/>
      <x:c r="AE31"/>
    </x:row>
    <x:row r="32">
      <x:c r="A32" t="str">
        <x:v>销售员001</x:v>
      </x:c>
      <x:c r="B32" t="n">
        <x:f>O14</x:f>
        <x:v>0</x:v>
      </x:c>
      <x:c r="C32" t="e">
        <x:f>C23/C14</x:f>
        <x:v>#VALUE!</x:v>
      </x:c>
      <x:c r="D32" t="e">
        <x:f>D23/D14</x:f>
        <x:v>#VALUE!</x:v>
      </x:c>
      <x:c r="E32" t="e">
        <x:f>E23/E14</x:f>
        <x:v>#VALUE!</x:v>
      </x:c>
      <x:c r="F32" t="n">
        <x:f>F23/F14</x:f>
        <x:v>1.0373167534641223</x:v>
      </x:c>
      <x:c r="G32" t="n">
        <x:f>G23/G14</x:f>
        <x:v>1.0101770558317427</x:v>
      </x:c>
      <x:c r="H32" t="n">
        <x:f>H23/H14</x:f>
        <x:v>1.0017775766650765</x:v>
      </x:c>
      <x:c r="I32" t="n">
        <x:f>I23/I14</x:f>
        <x:v>0</x:v>
      </x:c>
      <x:c r="J32" t="n">
        <x:f>J23/J14</x:f>
        <x:v>0</x:v>
      </x:c>
      <x:c r="K32" t="n">
        <x:f>K23/K14</x:f>
        <x:v>0</x:v>
      </x:c>
      <x:c r="L32" t="n">
        <x:f>L23/L14</x:f>
        <x:v>0</x:v>
      </x:c>
      <x:c r="M32" t="n">
        <x:f>M23/M14</x:f>
        <x:v>0</x:v>
      </x:c>
      <x:c r="N32" t="n">
        <x:f>N23/N14</x:f>
        <x:v>0</x:v>
      </x:c>
      <x:c r="O32" t="e">
        <x:f>O23/O14</x:f>
        <x:v>#DIV/0!</x:v>
      </x:c>
      <x:c r="P32" t="n">
        <x:f>O23</x:f>
        <x:v>0</x:v>
      </x:c>
      <x:c r="Q32"/>
      <x:c r="R32"/>
      <x:c r="S32"/>
      <x:c r="T32"/>
      <x:c r="U32"/>
      <x:c r="V32"/>
      <x:c r="W32"/>
      <x:c r="X32"/>
      <x:c r="Y32"/>
      <x:c r="Z32"/>
      <x:c r="AA32"/>
      <x:c r="AB32">
        <x:v>43920.4</x:v>
      </x:c>
      <x:c r="AC32" t="n">
        <x:f>(P32-AB32)/AB32*1</x:f>
        <x:v>-1</x:v>
      </x:c>
      <x:c r="AD32"/>
      <x:c r="AE32"/>
    </x:row>
    <x:row r="33">
      <x:c r="A33" t="str">
        <x:v>销售员006</x:v>
      </x:c>
      <x:c r="B33" t="n">
        <x:f>O15</x:f>
        <x:v>0</x:v>
      </x:c>
      <x:c r="C33" t="n">
        <x:f>C24/C15</x:f>
        <x:v>1.0116620477889515</x:v>
      </x:c>
      <x:c r="D33" t="n">
        <x:f>D24/D15</x:f>
        <x:v>1.1051977488160754</x:v>
      </x:c>
      <x:c r="E33" t="n">
        <x:f>E24/E15</x:f>
        <x:v>1.012358951150365</x:v>
      </x:c>
      <x:c r="F33" t="n">
        <x:f>F24/F15</x:f>
        <x:v>1.0147814340262886</x:v>
      </x:c>
      <x:c r="G33" t="n">
        <x:f>G24/G15</x:f>
        <x:v>1.0034388596504107</x:v>
      </x:c>
      <x:c r="H33" t="n">
        <x:f>H24/H15</x:f>
        <x:v>0.815828640726905</x:v>
      </x:c>
      <x:c r="I33" t="n">
        <x:f>I24/I15</x:f>
        <x:v>0</x:v>
      </x:c>
      <x:c r="J33" t="n">
        <x:f>J24/J15</x:f>
        <x:v>0</x:v>
      </x:c>
      <x:c r="K33" t="n">
        <x:f>K24/K15</x:f>
        <x:v>0</x:v>
      </x:c>
      <x:c r="L33" t="n">
        <x:f>L24/L15</x:f>
        <x:v>0</x:v>
      </x:c>
      <x:c r="M33" t="n">
        <x:f>M24/M15</x:f>
        <x:v>0</x:v>
      </x:c>
      <x:c r="N33" t="n">
        <x:f>N24/N15</x:f>
        <x:v>0</x:v>
      </x:c>
      <x:c r="O33" t="e">
        <x:f>O24/O15</x:f>
        <x:v>#DIV/0!</x:v>
      </x:c>
      <x:c r="P33" t="n">
        <x:f>O24</x:f>
        <x:v>0</x:v>
      </x:c>
      <x:c r="Q33"/>
      <x:c r="R33"/>
      <x:c r="S33"/>
      <x:c r="T33"/>
      <x:c r="U33"/>
      <x:c r="V33"/>
      <x:c r="W33"/>
      <x:c r="X33"/>
      <x:c r="Y33"/>
      <x:c r="Z33"/>
      <x:c r="AA33"/>
      <x:c r="AB33">
        <x:v>17926.9</x:v>
      </x:c>
      <x:c r="AC33" t="n">
        <x:f>(P33-AB33)/AB33*1</x:f>
        <x:v>-1</x:v>
      </x:c>
      <x:c r="AD33"/>
      <x:c r="AE33"/>
    </x:row>
    <x:row r="34">
      <x:c r="A34" t="str">
        <x:v>销售员005</x:v>
      </x:c>
      <x:c r="B34" t="n">
        <x:f>O16</x:f>
        <x:v>0</x:v>
      </x:c>
      <x:c r="C34" t="n">
        <x:f>C25/C16</x:f>
        <x:v>1.0349308629988736</x:v>
      </x:c>
      <x:c r="D34" t="e">
        <x:f>D25/D16</x:f>
        <x:v>#VALUE!</x:v>
      </x:c>
      <x:c r="E34" t="n">
        <x:f>E25/E16</x:f>
        <x:v>1.0723602678350528</x:v>
      </x:c>
      <x:c r="F34" t="n">
        <x:f>F25/F16</x:f>
        <x:v>1.0119135009277869</x:v>
      </x:c>
      <x:c r="G34" t="n">
        <x:f>G25/G16</x:f>
        <x:v>1.062332245097167</x:v>
      </x:c>
      <x:c r="H34" t="n">
        <x:f>H25/H16</x:f>
        <x:v>1.1094444212099777</x:v>
      </x:c>
      <x:c r="I34" t="n">
        <x:f>I25/I16</x:f>
        <x:v>0</x:v>
      </x:c>
      <x:c r="J34" t="n">
        <x:f>J25/J16</x:f>
        <x:v>0</x:v>
      </x:c>
      <x:c r="K34" t="n">
        <x:f>K25/K16</x:f>
        <x:v>0</x:v>
      </x:c>
      <x:c r="L34" t="n">
        <x:f>L25/L16</x:f>
        <x:v>0</x:v>
      </x:c>
      <x:c r="M34" t="n">
        <x:f>M25/M16</x:f>
        <x:v>0</x:v>
      </x:c>
      <x:c r="N34" t="n">
        <x:f>N25/N16</x:f>
        <x:v>0</x:v>
      </x:c>
      <x:c r="O34" t="e">
        <x:f>O25/O16</x:f>
        <x:v>#DIV/0!</x:v>
      </x:c>
      <x:c r="P34" t="n">
        <x:f>O25</x:f>
        <x:v>0</x:v>
      </x:c>
      <x:c r="Q34"/>
      <x:c r="R34"/>
      <x:c r="S34"/>
      <x:c r="T34"/>
      <x:c r="U34"/>
      <x:c r="V34"/>
      <x:c r="W34"/>
      <x:c r="X34"/>
      <x:c r="Y34"/>
      <x:c r="Z34"/>
      <x:c r="AA34"/>
      <x:c r="AB34">
        <x:v>20050.4</x:v>
      </x:c>
      <x:c r="AC34" t="n">
        <x:f>(P34-AB34)/AB34*1</x:f>
        <x:v>-1</x:v>
      </x:c>
      <x:c r="AD34"/>
      <x:c r="AE34"/>
    </x:row>
    <x:row r="35">
      <x:c r="A35" t="str">
        <x:v>销售员007</x:v>
      </x:c>
      <x:c r="B35" t="n">
        <x:f>O17</x:f>
        <x:v>0</x:v>
      </x:c>
      <x:c r="C35" t="n">
        <x:f>C26/C17</x:f>
        <x:v>0</x:v>
      </x:c>
      <x:c r="D35" t="n">
        <x:f>D26/D17</x:f>
        <x:v>0</x:v>
      </x:c>
      <x:c r="E35" t="n">
        <x:f>E26/E17</x:f>
        <x:v>0</x:v>
      </x:c>
      <x:c r="F35" t="n">
        <x:f>F26/F17</x:f>
        <x:v>0</x:v>
      </x:c>
      <x:c r="G35" t="n">
        <x:f>G26/G17</x:f>
        <x:v>0</x:v>
      </x:c>
      <x:c r="H35" t="n">
        <x:f>H26/H17</x:f>
        <x:v>0</x:v>
      </x:c>
      <x:c r="I35" t="n">
        <x:f>I26/I17</x:f>
        <x:v>0</x:v>
      </x:c>
      <x:c r="J35" t="n">
        <x:f>J26/J17</x:f>
        <x:v>0</x:v>
      </x:c>
      <x:c r="K35" t="n">
        <x:f>K26/K17</x:f>
        <x:v>0</x:v>
      </x:c>
      <x:c r="L35" t="n">
        <x:f>L26/L17</x:f>
        <x:v>0</x:v>
      </x:c>
      <x:c r="M35" t="n">
        <x:f>M26/M17</x:f>
        <x:v>0</x:v>
      </x:c>
      <x:c r="N35" t="n">
        <x:f>N26/N17</x:f>
        <x:v>0</x:v>
      </x:c>
      <x:c r="O35" t="e">
        <x:f>O26/O17</x:f>
        <x:v>#DIV/0!</x:v>
      </x:c>
      <x:c r="P35" t="n">
        <x:f>O26</x:f>
        <x:v>0</x:v>
      </x:c>
      <x:c r="Q35"/>
      <x:c r="R35"/>
      <x:c r="S35"/>
      <x:c r="T35"/>
      <x:c r="U35"/>
      <x:c r="V35"/>
      <x:c r="W35"/>
      <x:c r="X35"/>
      <x:c r="Y35"/>
      <x:c r="Z35"/>
      <x:c r="AA35"/>
      <x:c r="AB35">
        <x:v>242256.6</x:v>
      </x:c>
      <x:c r="AC35" t="n">
        <x:f>(P35-AB35)/AB35*1</x:f>
        <x:v>-1</x:v>
      </x:c>
      <x:c r="AD35"/>
      <x:c r="AE3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7.5" hidden="0" customWidth="1"/>
    <x:col min="3" max="3" width="5.630000114440918" hidden="0" customWidth="1"/>
    <x:col min="4" max="4" width="10.880000114440918" hidden="0" customWidth="1"/>
    <x:col min="5" max="5" width="8.5" hidden="0" customWidth="1"/>
    <x:col min="6" max="6" width="5.630000114440918" hidden="0" customWidth="1"/>
    <x:col min="7" max="7" width="10.880000114440918" hidden="0" customWidth="1"/>
    <x:col min="8" max="8" width="8.5" hidden="0" customWidth="1"/>
    <x:col min="9" max="9" width="5.630000114440918" hidden="0" customWidth="1"/>
    <x:col min="10" max="10" width="10.880000114440918" hidden="0" customWidth="1"/>
    <x:col min="11" max="11" width="8.880000114440918" hidden="0" customWidth="1"/>
    <x:col min="12" max="12" width="9.75" hidden="0" customWidth="1"/>
    <x:col min="13" max="13" width="8.5" hidden="0" customWidth="1"/>
    <x:col min="14" max="14" width="9.75" hidden="0" customWidth="1"/>
    <x:col min="15" max="15" width="8" hidden="0" customWidth="1"/>
    <x:col min="17" max="17" width="9.75" hidden="0" customWidth="1"/>
    <x:col min="18" max="18" width="8.5" hidden="0" customWidth="1"/>
    <x:col min="19" max="19" width="6.630000114440918" hidden="0" customWidth="1"/>
    <x:col min="20" max="20" width="8.5" hidden="0" customWidth="1"/>
  </x:cols>
  <x:sheetData>
    <x:row r="1">
      <x:c r="A1" t="s">
        <x:v>50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</x:row>
    <x:row r="2">
      <x:c r="A2" t="s">
        <x:v>3</x:v>
      </x:c>
      <x:c r="B2" t="s">
        <x:v>51</x:v>
      </x:c>
      <x:c r="C2"/>
      <x:c r="D2"/>
      <x:c r="E2" t="s">
        <x:v>52</x:v>
      </x:c>
      <x:c r="F2"/>
      <x:c r="G2"/>
      <x:c r="H2" t="s">
        <x:v>53</x:v>
      </x:c>
      <x:c r="I2"/>
      <x:c r="J2"/>
      <x:c r="K2"/>
      <x:c r="L2"/>
      <x:c r="M2"/>
      <x:c r="N2"/>
      <x:c r="O2"/>
      <x:c r="P2"/>
      <x:c r="Q2"/>
      <x:c r="R2"/>
      <x:c r="S2"/>
      <x:c r="T2"/>
    </x:row>
    <x:row r="3">
      <x:c r="A3"/>
      <x:c r="B3">
        <x:v>45748</x:v>
      </x:c>
      <x:c r="C3">
        <x:v>46113</x:v>
      </x:c>
      <x:c r="D3" t="s">
        <x:v>20</x:v>
      </x:c>
      <x:c r="E3">
        <x:v>45748</x:v>
      </x:c>
      <x:c r="F3">
        <x:v>46113</x:v>
      </x:c>
      <x:c r="G3" t="s">
        <x:v>20</x:v>
      </x:c>
      <x:c r="H3">
        <x:v>45748</x:v>
      </x:c>
      <x:c r="I3">
        <x:v>46113</x:v>
      </x:c>
      <x:c r="J3" t="s">
        <x:v>20</x:v>
      </x:c>
      <x:c r="K3"/>
      <x:c r="L3" t="s">
        <x:v>54</x:v>
      </x:c>
      <x:c r="M3" t="s">
        <x:v>55</x:v>
      </x:c>
      <x:c r="N3"/>
      <x:c r="O3"/>
      <x:c r="P3"/>
      <x:c r="Q3" t="s">
        <x:v>0</x:v>
      </x:c>
      <x:c r="R3" t="s">
        <x:v>56</x:v>
      </x:c>
      <x:c r="S3">
        <x:v>45809</x:v>
      </x:c>
      <x:c r="T3"/>
    </x:row>
    <x:row r="4">
      <x:c r="A4" t="str">
        <x:v>销售员003</x:v>
      </x:c>
      <x:c r="B4" t="str">
        <x:f>L15</x:f>
        <x:v>6068.7</x:v>
      </x:c>
      <x:c r="C4" t="str">
        <x:f>N15</x:f>
        <x:v>1926.3</x:v>
      </x:c>
      <x:c r="D4" t="n">
        <x:f>(C4-B4)/B4*1</x:f>
        <x:v>-0.6825844085224183</x:v>
      </x:c>
      <x:c r="E4" t="str">
        <x:f>M15</x:f>
        <x:v>5534.4</x:v>
      </x:c>
      <x:c r="F4" t="str">
        <x:f>O15</x:f>
        <x:v>3621.3</x:v>
      </x:c>
      <x:c r="G4" t="n">
        <x:f>(F4-E4)/E4*1</x:f>
        <x:v>-0.34567432784041624</x:v>
      </x:c>
      <x:c r="H4" t="n">
        <x:f>B4+E4</x:f>
        <x:v>11603.099999999999</x:v>
      </x:c>
      <x:c r="I4" t="n">
        <x:f>C4+F4</x:f>
        <x:v>5547.6</x:v>
      </x:c>
      <x:c r="J4" t="n">
        <x:f>(I4-H4)/H4</x:f>
        <x:v>-0.5218863924296092</x:v>
      </x:c>
      <x:c r="K4" t="str">
        <x:v>销售员003</x:v>
      </x:c>
      <x:c r="L4">
        <x:v>4484.7</x:v>
      </x:c>
      <x:c r="M4">
        <x:v>11779.2</x:v>
      </x:c>
      <x:c r="N4"/>
      <x:c r="O4"/>
      <x:c r="P4"/>
      <x:c r="Q4" t="n">
        <x:f>R4+S4</x:f>
        <x:v>57618</x:v>
      </x:c>
      <x:c r="R4">
        <x:v>43746.6</x:v>
      </x:c>
      <x:c r="S4">
        <x:v>13871.4</x:v>
      </x:c>
      <x:c r="T4"/>
    </x:row>
    <x:row r="5">
      <x:c r="A5" t="str">
        <x:v>销售员004</x:v>
      </x:c>
      <x:c r="B5" t="n">
        <x:f>L16</x:f>
        <x:v>7827.526</x:v>
      </x:c>
      <x:c r="C5" t="str">
        <x:f>N16</x:f>
        <x:v>2024.4</x:v>
      </x:c>
      <x:c r="D5" t="n">
        <x:f>(C5-B5)/B5*1</x:f>
        <x:v>-0.7413742221999646</x:v>
      </x:c>
      <x:c r="E5" t="n">
        <x:f>M16</x:f>
        <x:v>10337.421</x:v>
      </x:c>
      <x:c r="F5" t="str">
        <x:f>O16</x:f>
        <x:v>3542.9</x:v>
      </x:c>
      <x:c r="G5" t="n">
        <x:f>(F5-E5)/E5*1</x:f>
        <x:v>-0.6572742853367393</x:v>
      </x:c>
      <x:c r="H5" t="n">
        <x:f>B5+E5</x:f>
        <x:v>18164.947</x:v>
      </x:c>
      <x:c r="I5" t="n">
        <x:f>C5+F5</x:f>
        <x:v>5567.3</x:v>
      </x:c>
      <x:c r="J5" t="n">
        <x:f>(I5-H5)/H5</x:f>
        <x:v>-0.6935141071427294</x:v>
      </x:c>
      <x:c r="K5" t="str">
        <x:v>销售员004</x:v>
      </x:c>
      <x:c r="L5">
        <x:v>5578.2</x:v>
      </x:c>
      <x:c r="M5">
        <x:v>7289.8</x:v>
      </x:c>
      <x:c r="N5"/>
      <x:c r="O5"/>
      <x:c r="P5"/>
      <x:c r="Q5" t="n">
        <x:f>R5+S5</x:f>
        <x:v>50919</x:v>
      </x:c>
      <x:c r="R5">
        <x:v>38769.5</x:v>
      </x:c>
      <x:c r="S5">
        <x:v>12149.5</x:v>
      </x:c>
      <x:c r="T5"/>
    </x:row>
    <x:row r="6">
      <x:c r="A6" t="str">
        <x:v>销售员002</x:v>
      </x:c>
      <x:c r="B6" t="n">
        <x:f>L17</x:f>
        <x:v>7021.174</x:v>
      </x:c>
      <x:c r="C6" t="str">
        <x:f>N17</x:f>
        <x:v>1390.7</x:v>
      </x:c>
      <x:c r="D6" t="n">
        <x:f>(C6-B6)/B6*1</x:f>
        <x:v>-0.8019277118043222</x:v>
      </x:c>
      <x:c r="E6" t="n">
        <x:f>M17</x:f>
        <x:v>15215.879</x:v>
      </x:c>
      <x:c r="F6" t="str">
        <x:f>O17</x:f>
        <x:v>4532.2</x:v>
      </x:c>
      <x:c r="G6" t="n">
        <x:f>(F6-E6)/E6*1</x:f>
        <x:v>-0.7021401129701412</x:v>
      </x:c>
      <x:c r="H6" t="n">
        <x:f>B6+E6</x:f>
        <x:v>22237.053</x:v>
      </x:c>
      <x:c r="I6" t="n">
        <x:f>C6+F6</x:f>
        <x:v>5922.9</x:v>
      </x:c>
      <x:c r="J6" t="n">
        <x:f>(I6-H6)/H6</x:f>
        <x:v>-0.7336472598235028</x:v>
      </x:c>
      <x:c r="K6" t="str">
        <x:v>销售员002</x:v>
      </x:c>
      <x:c r="L6">
        <x:v>4785.8</x:v>
      </x:c>
      <x:c r="M6">
        <x:v>6484.3</x:v>
      </x:c>
      <x:c r="N6"/>
      <x:c r="O6"/>
      <x:c r="P6"/>
      <x:c r="Q6" t="n">
        <x:f>R6+S6</x:f>
        <x:v>48899.9</x:v>
      </x:c>
      <x:c r="R6">
        <x:v>36996.8</x:v>
      </x:c>
      <x:c r="S6">
        <x:v>11903.1</x:v>
      </x:c>
      <x:c r="T6"/>
    </x:row>
    <x:row r="7">
      <x:c r="A7" t="str">
        <x:v>销售员001</x:v>
      </x:c>
      <x:c r="B7" t="str">
        <x:f>L18</x:f>
        <x:v>9103</x:v>
      </x:c>
      <x:c r="C7" t="str">
        <x:f>N18</x:f>
        <x:v>2033.4</x:v>
      </x:c>
      <x:c r="D7" t="n">
        <x:f>(C7-B7)/B7*1</x:f>
        <x:v>-0.7766230912885862</x:v>
      </x:c>
      <x:c r="E7" t="str">
        <x:f>M18</x:f>
        <x:v>5928.6</x:v>
      </x:c>
      <x:c r="F7" t="str">
        <x:f>O18</x:f>
        <x:v>2938.5</x:v>
      </x:c>
      <x:c r="G7" t="n">
        <x:f>(F7-E7)/E7*1</x:f>
        <x:v>-0.5043517862564518</x:v>
      </x:c>
      <x:c r="H7" t="n">
        <x:f>B7+E7</x:f>
        <x:v>15031.6</x:v>
      </x:c>
      <x:c r="I7" t="n">
        <x:f>C7+F7</x:f>
        <x:v>4971.9</x:v>
      </x:c>
      <x:c r="J7" t="n">
        <x:f>(I7-H7)/H7</x:f>
        <x:v>-0.6692368077915858</x:v>
      </x:c>
      <x:c r="K7" t="str">
        <x:v>销售员001</x:v>
      </x:c>
      <x:c r="L7">
        <x:v>9103</x:v>
      </x:c>
      <x:c r="M7">
        <x:v>5928.6</x:v>
      </x:c>
      <x:c r="N7"/>
      <x:c r="O7"/>
      <x:c r="P7"/>
      <x:c r="Q7" t="n">
        <x:f>R7+S7</x:f>
        <x:v>55244.5</x:v>
      </x:c>
      <x:c r="R7">
        <x:v>43920.4</x:v>
      </x:c>
      <x:c r="S7">
        <x:v>11324.1</x:v>
      </x:c>
      <x:c r="T7"/>
    </x:row>
    <x:row r="8">
      <x:c r="A8" t="str">
        <x:v>销售员006</x:v>
      </x:c>
      <x:c r="B8"/>
      <x:c r="C8"/>
      <x:c r="D8"/>
      <x:c r="E8" t="str">
        <x:f>M19</x:f>
        <x:v>84</x:v>
      </x:c>
      <x:c r="F8" t="str">
        <x:f>O19</x:f>
        <x:v>17</x:v>
      </x:c>
      <x:c r="G8" t="n">
        <x:f>(F8-E8)/E8*1</x:f>
        <x:v>-0.7976190476190477</x:v>
      </x:c>
      <x:c r="H8" t="n">
        <x:f>B8+E8</x:f>
        <x:v>84</x:v>
      </x:c>
      <x:c r="I8" t="n">
        <x:f>C8+F8</x:f>
        <x:v>17</x:v>
      </x:c>
      <x:c r="J8" t="n">
        <x:f>(I8-H8)/H8</x:f>
        <x:v>-0.7976190476190477</x:v>
      </x:c>
      <x:c r="K8" t="str">
        <x:v>销售员009</x:v>
      </x:c>
      <x:c r="L8">
        <x:v>6068.7</x:v>
      </x:c>
      <x:c r="M8">
        <x:v>5534.4</x:v>
      </x:c>
      <x:c r="N8"/>
      <x:c r="O8"/>
      <x:c r="P8"/>
      <x:c r="Q8" t="n">
        <x:f>R8+S8</x:f>
        <x:v>54064.1</x:v>
      </x:c>
      <x:c r="R8">
        <x:v>40846</x:v>
      </x:c>
      <x:c r="S8">
        <x:v>13218.1</x:v>
      </x:c>
      <x:c r="T8"/>
    </x:row>
    <x:row r="9">
      <x:c r="A9" t="str">
        <x:v>销售员005</x:v>
      </x:c>
      <x:c r="B9"/>
      <x:c r="C9"/>
      <x:c r="D9"/>
      <x:c r="E9"/>
      <x:c r="F9" t="str">
        <x:f>O20</x:f>
        <x:v>257.9</x:v>
      </x:c>
      <x:c r="G9"/>
      <x:c r="H9" t="n">
        <x:f>B9+E9</x:f>
        <x:v>0</x:v>
      </x:c>
      <x:c r="I9" t="n">
        <x:f>C9+F9</x:f>
        <x:v>257.9</x:v>
      </x:c>
      <x:c r="J9"/>
      <x:c r="K9" t="str">
        <x:v>销售员006</x:v>
      </x:c>
      <x:c r="L9">
        <x:v>7493.5</x:v>
      </x:c>
      <x:c r="M9">
        <x:v>84</x:v>
      </x:c>
      <x:c r="N9"/>
      <x:c r="O9"/>
      <x:c r="P9"/>
      <x:c r="Q9" t="n">
        <x:f>R9+S9</x:f>
        <x:v>23021.5</x:v>
      </x:c>
      <x:c r="R9">
        <x:v>17926.9</x:v>
      </x:c>
      <x:c r="S9">
        <x:v>5094.6</x:v>
      </x:c>
      <x:c r="T9"/>
    </x:row>
    <x:row r="10">
      <x:c r="A10" t="s">
        <x:v>57</x:v>
      </x:c>
      <x:c r="B10" t="n">
        <x:f>SUM(B4:B9)</x:f>
        <x:v>14848.7</x:v>
      </x:c>
      <x:c r="C10" t="n">
        <x:f>SUM(C4:C9)</x:f>
        <x:v>0</x:v>
      </x:c>
      <x:c r="D10" t="n">
        <x:f>SUM(D4:D9)</x:f>
        <x:v>-3.0025094338152916</x:v>
      </x:c>
      <x:c r="E10" t="n">
        <x:f>SUM(E4:E9)</x:f>
        <x:v>25553.300000000003</x:v>
      </x:c>
      <x:c r="F10" t="n">
        <x:f>SUM(F4:F9)</x:f>
        <x:v>0</x:v>
      </x:c>
      <x:c r="G10" t="n">
        <x:f>(F10-E10)/E10*1</x:f>
        <x:v>-1</x:v>
      </x:c>
      <x:c r="H10" t="n">
        <x:f>B10+E10</x:f>
        <x:v>40402</x:v>
      </x:c>
      <x:c r="I10" t="n">
        <x:f>C10+F10</x:f>
        <x:v>0</x:v>
      </x:c>
      <x:c r="J10" t="n">
        <x:f>(I10-H10)/H10*1</x:f>
        <x:v>-1</x:v>
      </x:c>
      <x:c r="K10" t="str">
        <x:v>销售员005</x:v>
      </x:c>
      <x:c r="L10">
        <x:v>7401</x:v>
      </x:c>
      <x:c r="M10">
        <x:v>54.7</x:v>
      </x:c>
      <x:c r="N10"/>
      <x:c r="O10"/>
      <x:c r="P10"/>
      <x:c r="Q10" t="n">
        <x:f>R10+S10</x:f>
        <x:v>26319.800000000003</x:v>
      </x:c>
      <x:c r="R10">
        <x:v>20050.4</x:v>
      </x:c>
      <x:c r="S10">
        <x:v>6269.4</x:v>
      </x:c>
      <x:c r="T10"/>
    </x:row>
    <x:row r="11">
      <x:c r="A11"/>
      <x:c r="B11"/>
      <x:c r="C11"/>
      <x:c r="D11"/>
      <x:c r="E11"/>
      <x:c r="F11"/>
      <x:c r="G11"/>
      <x:c r="H11"/>
      <x:c r="I11"/>
      <x:c r="J11"/>
      <x:c r="K11" t="str">
        <x:v>销售员011</x:v>
      </x:c>
      <x:c r="L11" t="n">
        <x:f>L6*0.47</x:f>
        <x:v>2249.326</x:v>
      </x:c>
      <x:c r="M11" t="n">
        <x:f>M6*0.47</x:f>
        <x:v>3047.621</x:v>
      </x:c>
      <x:c r="N11"/>
      <x:c r="O11"/>
      <x:c r="P11"/>
      <x:c r="Q11" t="n">
        <x:f>Q6*0.47</x:f>
        <x:v>22982.952999999998</x:v>
      </x:c>
      <x:c r="R11"/>
      <x:c r="S11"/>
      <x:c r="T11"/>
    </x:row>
    <x:row r="12">
      <x:c r="A12"/>
      <x:c r="B12"/>
      <x:c r="C12"/>
      <x:c r="D12"/>
      <x:c r="E12"/>
      <x:c r="F12"/>
      <x:c r="G12"/>
      <x:c r="H12"/>
      <x:c r="I12"/>
      <x:c r="J12"/>
      <x:c r="K12" t="str">
        <x:v>销售员012</x:v>
      </x:c>
      <x:c r="L12" t="n">
        <x:f>L6*0.53</x:f>
        <x:v>2536.474</x:v>
      </x:c>
      <x:c r="M12" t="n">
        <x:f>M6*0.53</x:f>
        <x:v>3436.679</x:v>
      </x:c>
      <x:c r="N12"/>
      <x:c r="O12"/>
      <x:c r="P12"/>
      <x:c r="Q12" t="n">
        <x:f>Q6*0.53</x:f>
        <x:v>25916.947000000004</x:v>
      </x:c>
      <x:c r="R12"/>
      <x:c r="S12"/>
      <x:c r="T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</x:row>
    <x:row r="14">
      <x:c r="A14"/>
      <x:c r="B14"/>
      <x:c r="C14"/>
      <x:c r="D14"/>
      <x:c r="E14"/>
      <x:c r="F14"/>
      <x:c r="G14"/>
      <x:c r="H14"/>
      <x:c r="I14"/>
      <x:c r="J14"/>
      <x:c r="K14" t="s">
        <x:v>58</x:v>
      </x:c>
      <x:c r="L14" t="s">
        <x:v>54</x:v>
      </x:c>
      <x:c r="M14" t="s">
        <x:v>55</x:v>
      </x:c>
      <x:c r="N14" t="s">
        <x:v>59</x:v>
      </x:c>
      <x:c r="O14" t="s">
        <x:v>60</x:v>
      </x:c>
      <x:c r="P14"/>
      <x:c r="Q14" t="s">
        <x:v>54</x:v>
      </x:c>
      <x:c r="R14"/>
      <x:c r="S14"/>
      <x:c r="T14" t="s">
        <x:v>61</x:v>
      </x:c>
    </x:row>
    <x:row r="15">
      <x:c r="A15"/>
      <x:c r="B15"/>
      <x:c r="C15"/>
      <x:c r="D15"/>
      <x:c r="E15"/>
      <x:c r="F15"/>
      <x:c r="G15"/>
      <x:c r="H15"/>
      <x:c r="I15"/>
      <x:c r="J15"/>
      <x:c r="K15" t="str">
        <x:v>销售员003</x:v>
      </x:c>
      <x:c r="L15" t="str">
        <x:f>L8</x:f>
        <x:v>6068.7</x:v>
      </x:c>
      <x:c r="M15" t="str">
        <x:f>M8</x:f>
        <x:v>5534.4</x:v>
      </x:c>
      <x:c r="N15" t="str">
        <x:v>1926.3</x:v>
      </x:c>
      <x:c r="O15" t="str">
        <x:v>3621.3</x:v>
      </x:c>
      <x:c r="P15"/>
      <x:c r="Q15" t="n">
        <x:f>Q8</x:f>
        <x:v>54064.1</x:v>
      </x:c>
      <x:c r="R15"/>
      <x:c r="S15"/>
      <x:c r="T15"/>
    </x:row>
    <x:row r="16">
      <x:c r="A16"/>
      <x:c r="B16"/>
      <x:c r="C16"/>
      <x:c r="D16"/>
      <x:c r="E16"/>
      <x:c r="F16"/>
      <x:c r="G16"/>
      <x:c r="H16"/>
      <x:c r="I16"/>
      <x:c r="J16"/>
      <x:c r="K16" t="str">
        <x:v>销售员004</x:v>
      </x:c>
      <x:c r="L16" t="n">
        <x:f>L5+L11</x:f>
        <x:v>7827.526</x:v>
      </x:c>
      <x:c r="M16" t="n">
        <x:f>M5+M11</x:f>
        <x:v>10337.421</x:v>
      </x:c>
      <x:c r="N16" t="str">
        <x:v>2024.4</x:v>
      </x:c>
      <x:c r="O16" t="str">
        <x:v>3542.9</x:v>
      </x:c>
      <x:c r="P16"/>
      <x:c r="Q16" t="n">
        <x:f>Q5+Q11</x:f>
        <x:v>73901.953</x:v>
      </x:c>
      <x:c r="R16"/>
      <x:c r="S16"/>
      <x:c r="T16"/>
    </x:row>
    <x:row r="17">
      <x:c r="A17"/>
      <x:c r="B17"/>
      <x:c r="C17"/>
      <x:c r="D17"/>
      <x:c r="E17"/>
      <x:c r="F17"/>
      <x:c r="G17"/>
      <x:c r="H17"/>
      <x:c r="I17"/>
      <x:c r="J17"/>
      <x:c r="K17" t="str">
        <x:v>销售员002</x:v>
      </x:c>
      <x:c r="L17" t="n">
        <x:f>L4+L12</x:f>
        <x:v>7021.174</x:v>
      </x:c>
      <x:c r="M17" t="n">
        <x:f>M4+M12</x:f>
        <x:v>15215.879</x:v>
      </x:c>
      <x:c r="N17" t="str">
        <x:v>1390.7</x:v>
      </x:c>
      <x:c r="O17" t="str">
        <x:v>4532.2</x:v>
      </x:c>
      <x:c r="P17"/>
      <x:c r="Q17" t="n">
        <x:f>Q4+Q12</x:f>
        <x:v>83534.947</x:v>
      </x:c>
      <x:c r="R17"/>
      <x:c r="S17"/>
      <x:c r="T17"/>
    </x:row>
    <x:row r="18">
      <x:c r="A18"/>
      <x:c r="B18"/>
      <x:c r="C18"/>
      <x:c r="D18"/>
      <x:c r="E18"/>
      <x:c r="F18"/>
      <x:c r="G18"/>
      <x:c r="H18"/>
      <x:c r="I18"/>
      <x:c r="J18"/>
      <x:c r="K18" t="str">
        <x:v>销售员001</x:v>
      </x:c>
      <x:c r="L18" t="str">
        <x:f>L7</x:f>
        <x:v>9103</x:v>
      </x:c>
      <x:c r="M18" t="str">
        <x:f>M7</x:f>
        <x:v>5928.6</x:v>
      </x:c>
      <x:c r="N18" t="str">
        <x:v>2033.4</x:v>
      </x:c>
      <x:c r="O18" t="str">
        <x:v>2938.5</x:v>
      </x:c>
      <x:c r="P18"/>
      <x:c r="Q18" t="n">
        <x:f>Q7</x:f>
        <x:v>55244.5</x:v>
      </x:c>
      <x:c r="R18"/>
      <x:c r="S18"/>
      <x:c r="T18"/>
    </x:row>
    <x:row r="19">
      <x:c r="A19"/>
      <x:c r="B19"/>
      <x:c r="C19"/>
      <x:c r="D19"/>
      <x:c r="E19"/>
      <x:c r="F19"/>
      <x:c r="G19"/>
      <x:c r="H19"/>
      <x:c r="I19"/>
      <x:c r="J19"/>
      <x:c r="K19" t="str">
        <x:v>销售员006</x:v>
      </x:c>
      <x:c r="L19"/>
      <x:c r="M19" t="str">
        <x:f>M9</x:f>
        <x:v>84</x:v>
      </x:c>
      <x:c r="N19">
        <x:v>37</x:v>
      </x:c>
      <x:c r="O19">
        <x:v>17</x:v>
      </x:c>
      <x:c r="P19"/>
      <x:c r="Q19" t="n">
        <x:f>Q9</x:f>
        <x:v>23021.5</x:v>
      </x:c>
      <x:c r="R19"/>
      <x:c r="S19"/>
      <x:c r="T19"/>
    </x:row>
    <x:row r="20">
      <x:c r="A20"/>
      <x:c r="B20"/>
      <x:c r="C20"/>
      <x:c r="D20"/>
      <x:c r="E20"/>
      <x:c r="F20"/>
      <x:c r="G20"/>
      <x:c r="H20"/>
      <x:c r="I20"/>
      <x:c r="J20"/>
      <x:c r="K20" t="str">
        <x:v>销售员005</x:v>
      </x:c>
      <x:c r="L20"/>
      <x:c r="M20" t="str">
        <x:f>M10</x:f>
        <x:v>54.7</x:v>
      </x:c>
      <x:c r="N20">
        <x:v>11.1</x:v>
      </x:c>
      <x:c r="O20">
        <x:v>257.9</x:v>
      </x:c>
      <x:c r="P20"/>
      <x:c r="Q20" t="n">
        <x:f>Q10</x:f>
        <x:v>26319.800000000003</x:v>
      </x:c>
      <x:c r="R20"/>
      <x:c r="S20"/>
      <x:c r="T2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16.75" hidden="0" customWidth="1"/>
    <x:col min="3" max="3" width="10.380000114440918" hidden="0" customWidth="1"/>
    <x:col min="4" max="4" width="16.75" hidden="0" customWidth="1"/>
    <x:col min="5" max="5" width="10.380000114440918" hidden="0" customWidth="1"/>
    <x:col min="6" max="6" width="15.75" hidden="0" customWidth="1"/>
    <x:col min="7" max="7" width="10.380000114440918" hidden="0" customWidth="1"/>
    <x:col min="8" max="8" width="15.75" hidden="0" customWidth="1"/>
    <x:col min="9" max="9" width="16.75" hidden="0" customWidth="1"/>
    <x:col min="10" max="10" width="16.75" hidden="0" customWidth="1"/>
    <x:col min="11" max="11" width="16.75" hidden="0" customWidth="1"/>
    <x:col min="12" max="12" width="16.75" hidden="0" customWidth="1"/>
    <x:col min="13" max="13" width="16.75" hidden="0" customWidth="1"/>
    <x:col min="14" max="14" width="10.380000114440918" hidden="0" customWidth="1"/>
    <x:col min="15" max="15" width="10.380000114440918" hidden="0" customWidth="1"/>
    <x:col min="16" max="16" width="6.25" hidden="0" customWidth="1"/>
    <x:col min="17" max="17" width="10.380000114440918" hidden="0" customWidth="1"/>
    <x:col min="18" max="18" width="6.630000114440918" hidden="0" customWidth="1"/>
    <x:col min="19" max="19" width="10.880000114440918" hidden="0" customWidth="1"/>
    <x:col min="20" max="20" width="5.630000114440918" hidden="0" customWidth="1"/>
    <x:col min="21" max="21" width="6.630000114440918" hidden="0" customWidth="1"/>
    <x:col min="22" max="22" width="6.630000114440918" hidden="0" customWidth="1"/>
    <x:col min="23" max="23" width="7.5" hidden="0" customWidth="1"/>
  </x:cols>
  <x:sheetData>
    <x:row r="1">
      <x:c r="A1" t="s">
        <x:v>62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</x:row>
    <x:row r="2">
      <x:c r="A2" t="s">
        <x:v>3</x:v>
      </x:c>
      <x:c r="B2" t="s">
        <x:v>63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</x:row>
    <x:row r="3">
      <x:c r="A3"/>
      <x:c r="B3" t="s">
        <x:v>64</x:v>
      </x:c>
      <x:c r="C3" t="s">
        <x:v>65</x:v>
      </x:c>
      <x:c r="D3" t="s">
        <x:v>66</x:v>
      </x:c>
      <x:c r="E3" t="s">
        <x:v>67</x:v>
      </x:c>
      <x:c r="F3" t="s">
        <x:v>68</x:v>
      </x:c>
      <x:c r="G3" t="s">
        <x:v>69</x:v>
      </x:c>
      <x:c r="H3" t="s">
        <x:v>70</x:v>
      </x:c>
      <x:c r="I3" t="s">
        <x:v>71</x:v>
      </x:c>
      <x:c r="J3" t="s">
        <x:v>72</x:v>
      </x:c>
      <x:c r="K3" t="s">
        <x:v>73</x:v>
      </x:c>
      <x:c r="L3" t="s">
        <x:v>74</x:v>
      </x:c>
      <x:c r="M3" t="s">
        <x:v>75</x:v>
      </x:c>
      <x:c r="N3" t="s">
        <x:v>76</x:v>
      </x:c>
      <x:c r="O3"/>
      <x:c r="P3"/>
      <x:c r="Q3"/>
      <x:c r="R3"/>
      <x:c r="S3"/>
      <x:c r="T3"/>
      <x:c r="U3"/>
      <x:c r="V3"/>
      <x:c r="W3"/>
    </x:row>
    <x:row r="4">
      <x:c r="A4" t="str">
        <x:v>销售员001</x:v>
      </x:c>
      <x:c r="B4">
        <x:v>731.602222545453</x:v>
      </x:c>
      <x:c r="C4">
        <x:v>351.512005363636</x:v>
      </x:c>
      <x:c r="D4">
        <x:v>733.507436666665</x:v>
      </x:c>
      <x:c r="E4">
        <x:v>819.24207212121</x:v>
      </x:c>
      <x:c r="F4" t="str">
        <x:v>981.已脱敏电话019</x:v>
      </x:c>
      <x:c r="G4">
        <x:v>1038.3416960606</x:v>
      </x:c>
      <x:c r="H4">
        <x:v>1022.1473760303</x:v>
      </x:c>
      <x:c r="I4">
        <x:v>998.332199515149</x:v>
      </x:c>
      <x:c r="J4">
        <x:v>990.711343030301</x:v>
      </x:c>
      <x:c r="K4" t="str">
        <x:v>762.已脱敏电话020</x:v>
      </x:c>
      <x:c r="L4" t="str">
        <x:v>621.已脱敏电话021</x:v>
      </x:c>
      <x:c r="M4">
        <x:v>476.303530303029</x:v>
      </x:c>
      <x:c r="N4" t="n">
        <x:f>C4+B4</x:f>
        <x:v>1083.1142279090889</x:v>
      </x:c>
      <x:c r="O4"/>
      <x:c r="P4"/>
      <x:c r="Q4"/>
      <x:c r="R4"/>
      <x:c r="S4"/>
      <x:c r="T4"/>
      <x:c r="U4"/>
      <x:c r="V4"/>
      <x:c r="W4"/>
    </x:row>
    <x:row r="5">
      <x:c r="A5" t="str">
        <x:v>销售员002</x:v>
      </x:c>
      <x:c r="B5" t="str">
        <x:v>1270.已脱敏电话008</x:v>
      </x:c>
      <x:c r="C5">
        <x:v>610.262358681817</x:v>
      </x:c>
      <x:c r="D5">
        <x:v>1273.44719833333</x:v>
      </x:c>
      <x:c r="E5">
        <x:v>1422.2916760606</x:v>
      </x:c>
      <x:c r="F5">
        <x:v>1703.44235621212</x:v>
      </x:c>
      <x:c r="G5">
        <x:v>1802.6720080303</x:v>
      </x:c>
      <x:c r="H5">
        <x:v>1774.55694001515</x:v>
      </x:c>
      <x:c r="I5">
        <x:v>1733.21125175757</x:v>
      </x:c>
      <x:c r="J5">
        <x:v>1719.98063151515</x:v>
      </x:c>
      <x:c r="K5" t="str">
        <x:v>1323.已脱敏电话022</x:v>
      </x:c>
      <x:c r="L5">
        <x:v>1078.29554975757</x:v>
      </x:c>
      <x:c r="M5">
        <x:v>826.913765151513</x:v>
      </x:c>
      <x:c r="N5" t="e">
        <x:f>C5+B5</x:f>
        <x:v>#VALUE!</x:v>
      </x:c>
      <x:c r="O5"/>
      <x:c r="P5"/>
      <x:c r="Q5"/>
      <x:c r="R5"/>
      <x:c r="S5"/>
      <x:c r="T5"/>
      <x:c r="U5"/>
      <x:c r="V5"/>
      <x:c r="W5"/>
    </x:row>
    <x:row r="6">
      <x:c r="A6" t="str">
        <x:v>销售员003</x:v>
      </x:c>
      <x:c r="B6">
        <x:v>647.760040727271</x:v>
      </x:c>
      <x:c r="C6">
        <x:v>311.228457068181</x:v>
      </x:c>
      <x:c r="D6">
        <x:v>649.446915833332</x:v>
      </x:c>
      <x:c r="E6">
        <x:v>725.356295606059</x:v>
      </x:c>
      <x:c r="F6">
        <x:v>868.74067962121</x:v>
      </x:c>
      <x:c r="G6">
        <x:v>919.346932803028</x:v>
      </x:c>
      <x:c r="H6" t="str">
        <x:v>905.已脱敏电话023</x:v>
      </x:c>
      <x:c r="I6">
        <x:v>883.922555575756</x:v>
      </x:c>
      <x:c r="J6">
        <x:v>877.175055151513</x:v>
      </x:c>
      <x:c r="K6">
        <x:v>674.750042424241</x:v>
      </x:c>
      <x:c r="L6">
        <x:v>549.921284575756</x:v>
      </x:c>
      <x:c r="M6">
        <x:v>421.718776515151</x:v>
      </x:c>
      <x:c r="N6" t="n">
        <x:f>C6+B6</x:f>
        <x:v>958.988497795452</x:v>
      </x:c>
      <x:c r="O6"/>
      <x:c r="P6"/>
      <x:c r="Q6"/>
      <x:c r="R6"/>
      <x:c r="S6"/>
      <x:c r="T6"/>
      <x:c r="U6"/>
      <x:c r="V6"/>
      <x:c r="W6"/>
    </x:row>
    <x:row r="7">
      <x:c r="A7" t="str">
        <x:v>销售员004</x:v>
      </x:c>
      <x:c r="B7">
        <x:v>1091.23261672727</x:v>
      </x:c>
      <x:c r="C7">
        <x:v>524.303171318181</x:v>
      </x:c>
      <x:c r="D7" t="str">
        <x:v>1094.已脱敏电话013</x:v>
      </x:c>
      <x:c r="E7">
        <x:v>1221.95319060606</x:v>
      </x:c>
      <x:c r="F7">
        <x:v>1463.50207712121</x:v>
      </x:c>
      <x:c r="G7">
        <x:v>1548.75462530303</x:v>
      </x:c>
      <x:c r="H7">
        <x:v>1524.59973665151</x:v>
      </x:c>
      <x:c r="I7" t="str">
        <x:v>1489.已脱敏电话024</x:v>
      </x:c>
      <x:c r="J7">
        <x:v>1477.71083515151</x:v>
      </x:c>
      <x:c r="K7">
        <x:v>1136.70064242424</x:v>
      </x:c>
      <x:c r="L7">
        <x:v>926.411023575755</x:v>
      </x:c>
      <x:c r="M7">
        <x:v>710.43790151515</x:v>
      </x:c>
      <x:c r="N7" t="n">
        <x:f>C7+B7</x:f>
        <x:v>1615.5357880454508</x:v>
      </x:c>
      <x:c r="O7"/>
      <x:c r="P7"/>
      <x:c r="Q7"/>
      <x:c r="R7"/>
      <x:c r="S7"/>
      <x:c r="T7"/>
      <x:c r="U7"/>
      <x:c r="V7"/>
      <x:c r="W7"/>
    </x:row>
    <x:row r="8">
      <x:c r="A8" t="str">
        <x:v>销售员005</x:v>
      </x:c>
      <x:c r="B8">
        <x:v>4190.65630254545</x:v>
      </x:c>
      <x:c r="C8">
        <x:v>2013.47939536363</x:v>
      </x:c>
      <x:c r="D8">
        <x:v>4201.56946999999</x:v>
      </x:c>
      <x:c r="E8">
        <x:v>4692.66200545454</x:v>
      </x:c>
      <x:c r="F8">
        <x:v>5620.2812390909</x:v>
      </x:c>
      <x:c r="G8">
        <x:v>5947.67626272726</x:v>
      </x:c>
      <x:c r="H8">
        <x:v>5854.91433936363</x:v>
      </x:c>
      <x:c r="I8">
        <x:v>5718.49974618181</x:v>
      </x:c>
      <x:c r="J8">
        <x:v>5674.84707636363</x:v>
      </x:c>
      <x:c r="K8">
        <x:v>4365.26698181817</x:v>
      </x:c>
      <x:c r="L8">
        <x:v>3557.69259018181</x:v>
      </x:c>
      <x:c r="M8">
        <x:v>2728.29186363636</x:v>
      </x:c>
      <x:c r="N8" t="n">
        <x:f>C8+B8</x:f>
        <x:v>6204.13569790908</x:v>
      </x:c>
      <x:c r="O8"/>
      <x:c r="P8"/>
      <x:c r="Q8"/>
      <x:c r="R8"/>
      <x:c r="S8"/>
      <x:c r="T8"/>
      <x:c r="U8"/>
      <x:c r="V8"/>
      <x:c r="W8"/>
    </x:row>
    <x:row r="9">
      <x:c r="A9" t="str">
        <x:v>销售员006</x:v>
      </x:c>
      <x:c r="B9">
        <x:v>3296.51144494545</x:v>
      </x:c>
      <x:c r="C9">
        <x:v>1583.87073331363</x:v>
      </x:c>
      <x:c r="D9" t="str">
        <x:v>3305.已脱敏电话018</x:v>
      </x:c>
      <x:c r="E9">
        <x:v>3691.4060451212</x:v>
      </x:c>
      <x:c r="F9">
        <x:v>4421.10258892423</x:v>
      </x:c>
      <x:c r="G9">
        <x:v>4678.6425455606</x:v>
      </x:c>
      <x:c r="H9">
        <x:v>4605.67289118029</x:v>
      </x:c>
      <x:c r="I9">
        <x:v>4498.36457591514</x:v>
      </x:c>
      <x:c r="J9" t="str">
        <x:v>4464.已脱敏电话026</x:v>
      </x:c>
      <x:c r="K9">
        <x:v>3433.86608848484</x:v>
      </x:c>
      <x:c r="L9">
        <x:v>2798.60086211514</x:v>
      </x:c>
      <x:c r="M9" t="str">
        <x:v>2146.已脱敏电话027</x:v>
      </x:c>
      <x:c r="N9" t="n">
        <x:f>C9+B9</x:f>
        <x:v>4880.38217825908</x:v>
      </x:c>
      <x:c r="O9"/>
      <x:c r="P9"/>
      <x:c r="Q9"/>
      <x:c r="R9"/>
      <x:c r="S9"/>
      <x:c r="T9"/>
      <x:c r="U9"/>
      <x:c r="V9"/>
      <x:c r="W9"/>
    </x:row>
    <x:row r="10">
      <x:c r="A10" t="str">
        <x:v>销售员007</x:v>
      </x:c>
      <x:c r="B10">
        <x:v>11227.9021707636</x:v>
      </x:c>
      <x:c r="C10">
        <x:v>5394.65612110908</x:v>
      </x:c>
      <x:c r="D10">
        <x:v>11257.1414993333</x:v>
      </x:c>
      <x:c r="E10">
        <x:v>12572.9112849697</x:v>
      </x:c>
      <x:c r="F10">
        <x:v>15058.2542133939</x:v>
      </x:c>
      <x:c r="G10">
        <x:v>15935.4340704848</x:v>
      </x:c>
      <x:c r="H10">
        <x:v>15686.8997776424</x:v>
      </x:c>
      <x:c r="I10">
        <x:v>15321.4081705212</x:v>
      </x:c>
      <x:c r="J10">
        <x:v>15204.4508562424</x:v>
      </x:c>
      <x:c r="K10">
        <x:v>11695.7314278788</x:v>
      </x:c>
      <x:c r="L10" t="str">
        <x:v>9532.已脱敏电话028</x:v>
      </x:c>
      <x:c r="M10">
        <x:v>7309.83214242423</x:v>
      </x:c>
      <x:c r="N10" t="n">
        <x:f>C10+B10</x:f>
        <x:v>16622.55829187268</x:v>
      </x:c>
      <x:c r="O10"/>
      <x:c r="P10"/>
      <x:c r="Q10"/>
      <x:c r="R10"/>
      <x:c r="S10"/>
      <x:c r="T10"/>
      <x:c r="U10"/>
      <x:c r="V10"/>
      <x:c r="W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</x:row>
    <x:row r="12">
      <x:c r="A12" t="str">
        <x:v>销售员008</x:v>
      </x:c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</x:row>
    <x:row r="13">
      <x:c r="A13" t="s">
        <x:v>3</x:v>
      </x:c>
      <x:c r="B13" t="s">
        <x:v>64</x:v>
      </x:c>
      <x:c r="C13" t="s">
        <x:v>65</x:v>
      </x:c>
      <x:c r="D13" t="s">
        <x:v>66</x:v>
      </x:c>
      <x:c r="E13" t="s">
        <x:v>67</x:v>
      </x:c>
      <x:c r="F13"/>
      <x:c r="G13"/>
      <x:c r="H13"/>
      <x:c r="I13"/>
      <x:c r="J13"/>
      <x:c r="K13"/>
      <x:c r="L13"/>
      <x:c r="M13"/>
      <x:c r="N13" t="s">
        <x:v>76</x:v>
      </x:c>
      <x:c r="O13"/>
      <x:c r="P13"/>
      <x:c r="Q13"/>
      <x:c r="R13"/>
      <x:c r="S13"/>
      <x:c r="T13"/>
      <x:c r="U13"/>
      <x:c r="V13"/>
      <x:c r="W13"/>
    </x:row>
    <x:row r="14">
      <x:c r="A14" t="s">
        <x:v>3</x:v>
      </x:c>
      <x:c r="B14" t="s">
        <x:v>64</x:v>
      </x:c>
      <x:c r="C14" t="s">
        <x:v>65</x:v>
      </x:c>
      <x:c r="D14" t="s">
        <x:v>66</x:v>
      </x:c>
      <x:c r="E14" t="s">
        <x:v>67</x:v>
      </x:c>
      <x:c r="F14" t="s">
        <x:v>68</x:v>
      </x:c>
      <x:c r="G14" t="s">
        <x:v>69</x:v>
      </x:c>
      <x:c r="H14" t="s">
        <x:v>70</x:v>
      </x:c>
      <x:c r="I14" t="s">
        <x:v>71</x:v>
      </x:c>
      <x:c r="J14" t="s">
        <x:v>72</x:v>
      </x:c>
      <x:c r="K14" t="s">
        <x:v>73</x:v>
      </x:c>
      <x:c r="L14" t="s">
        <x:v>74</x:v>
      </x:c>
      <x:c r="M14" t="s">
        <x:v>75</x:v>
      </x:c>
      <x:c r="N14" t="s">
        <x:v>63</x:v>
      </x:c>
      <x:c r="O14" t="s">
        <x:v>21</x:v>
      </x:c>
      <x:c r="P14" t="s">
        <x:v>35</x:v>
      </x:c>
      <x:c r="Q14" t="s">
        <x:v>77</x:v>
      </x:c>
      <x:c r="R14" t="s">
        <x:v>49</x:v>
      </x:c>
      <x:c r="S14" t="s">
        <x:v>20</x:v>
      </x:c>
      <x:c r="T14"/>
      <x:c r="U14"/>
      <x:c r="V14"/>
      <x:c r="W14"/>
    </x:row>
    <x:row r="15">
      <x:c r="A15" t="str">
        <x:v>销售员003</x:v>
      </x:c>
      <x:c r="B15" t="str">
        <x:f>B6</x:f>
        <x:v>647.760040727271</x:v>
      </x:c>
      <x:c r="C15" t="str">
        <x:f>C6</x:f>
        <x:v>311.228457068181</x:v>
      </x:c>
      <x:c r="D15" t="str">
        <x:f>D6</x:f>
        <x:v>649.446915833332</x:v>
      </x:c>
      <x:c r="E15" t="str">
        <x:f>E6</x:f>
        <x:v>725.356295606059</x:v>
      </x:c>
      <x:c r="F15" t="str">
        <x:f>F6</x:f>
        <x:v>868.74067962121</x:v>
      </x:c>
      <x:c r="G15" t="str">
        <x:f>G6</x:f>
        <x:v>919.346932803028</x:v>
      </x:c>
      <x:c r="H15"/>
      <x:c r="I15"/>
      <x:c r="J15"/>
      <x:c r="K15"/>
      <x:c r="L15"/>
      <x:c r="M15"/>
      <x:c r="N15" t="n">
        <x:f>SUM(B15:G15)</x:f>
        <x:v>0</x:v>
      </x:c>
      <x:c r="O15">
        <x:v>4675</x:v>
      </x:c>
      <x:c r="P15" t="e">
        <x:f>O15/N15</x:f>
        <x:v>#DIV/0!</x:v>
      </x:c>
      <x:c r="Q15" t="n">
        <x:f>O15-N15</x:f>
        <x:v>4675</x:v>
      </x:c>
      <x:c r="R15">
        <x:v>3469</x:v>
      </x:c>
      <x:c r="S15" t="n">
        <x:f>(O15-R15)/R15*1</x:f>
        <x:v>0.3476506197751513</x:v>
      </x:c>
      <x:c r="T15">
        <x:v>1747.5</x:v>
      </x:c>
      <x:c r="U15"/>
      <x:c r="V15">
        <x:v>2138.5</x:v>
      </x:c>
      <x:c r="W15">
        <x:v>1784</x:v>
      </x:c>
    </x:row>
    <x:row r="16">
      <x:c r="A16" t="str">
        <x:v>销售员004</x:v>
      </x:c>
      <x:c r="B16" t="str">
        <x:f>B7</x:f>
        <x:v>1091.23261672727</x:v>
      </x:c>
      <x:c r="C16" t="str">
        <x:f>C7</x:f>
        <x:v>524.303171318181</x:v>
      </x:c>
      <x:c r="D16" t="str">
        <x:f>D7</x:f>
        <x:v>1094.已脱敏电话013</x:v>
      </x:c>
      <x:c r="E16" t="str">
        <x:f>E7</x:f>
        <x:v>1221.95319060606</x:v>
      </x:c>
      <x:c r="F16" t="str">
        <x:f>F7</x:f>
        <x:v>1463.50207712121</x:v>
      </x:c>
      <x:c r="G16" t="str">
        <x:f>G7</x:f>
        <x:v>1548.75462530303</x:v>
      </x:c>
      <x:c r="H16"/>
      <x:c r="I16"/>
      <x:c r="J16"/>
      <x:c r="K16"/>
      <x:c r="L16"/>
      <x:c r="M16"/>
      <x:c r="N16" t="n">
        <x:f>SUM(B16:G16)</x:f>
        <x:v>0</x:v>
      </x:c>
      <x:c r="O16">
        <x:v>3814.5</x:v>
      </x:c>
      <x:c r="P16" t="e">
        <x:f>O16/N16</x:f>
        <x:v>#DIV/0!</x:v>
      </x:c>
      <x:c r="Q16" t="n">
        <x:f>O16-N16</x:f>
        <x:v>3814.5</x:v>
      </x:c>
      <x:c r="R16">
        <x:v>5818.79</x:v>
      </x:c>
      <x:c r="S16" t="n">
        <x:f>(O16-R16)/R16*1</x:f>
        <x:v>-0.3444513378210934</x:v>
      </x:c>
      <x:c r="T16">
        <x:v>0.47</x:v>
      </x:c>
      <x:c r="U16" t="n">
        <x:f>T16*T15</x:f>
        <x:v>821.3249999999999</x:v>
      </x:c>
      <x:c r="V16">
        <x:v>1892.5</x:v>
      </x:c>
      <x:c r="W16" t="n">
        <x:f>U16+V16</x:f>
        <x:v>2713.825</x:v>
      </x:c>
    </x:row>
    <x:row r="17">
      <x:c r="A17" t="str">
        <x:v>销售员002</x:v>
      </x:c>
      <x:c r="B17" t="str">
        <x:f>B5</x:f>
        <x:v>1270.已脱敏电话008</x:v>
      </x:c>
      <x:c r="C17" t="str">
        <x:f>C5</x:f>
        <x:v>610.262358681817</x:v>
      </x:c>
      <x:c r="D17" t="str">
        <x:f>D5</x:f>
        <x:v>1273.44719833333</x:v>
      </x:c>
      <x:c r="E17" t="str">
        <x:f>E5</x:f>
        <x:v>1422.2916760606</x:v>
      </x:c>
      <x:c r="F17" t="str">
        <x:f>F5</x:f>
        <x:v>1703.44235621212</x:v>
      </x:c>
      <x:c r="G17" t="str">
        <x:f>G5</x:f>
        <x:v>1802.6720080303</x:v>
      </x:c>
      <x:c r="H17"/>
      <x:c r="I17"/>
      <x:c r="J17"/>
      <x:c r="K17"/>
      <x:c r="L17"/>
      <x:c r="M17"/>
      <x:c r="N17" t="n">
        <x:f>SUM(B17:G17)</x:f>
        <x:v>0</x:v>
      </x:c>
      <x:c r="O17">
        <x:v>3494</x:v>
      </x:c>
      <x:c r="P17" t="e">
        <x:f>O17/N17</x:f>
        <x:v>#DIV/0!</x:v>
      </x:c>
      <x:c r="Q17" t="n">
        <x:f>O17-N17</x:f>
        <x:v>3494</x:v>
      </x:c>
      <x:c r="R17">
        <x:v>6339.71</x:v>
      </x:c>
      <x:c r="S17" t="n">
        <x:f>(O17-R17)/R17*1</x:f>
        <x:v>-0.44887068966877036</x:v>
      </x:c>
      <x:c r="T17">
        <x:v>0.53</x:v>
      </x:c>
      <x:c r="U17" t="n">
        <x:f>T17*T15</x:f>
        <x:v>926.1750000000001</x:v>
      </x:c>
      <x:c r="V17">
        <x:v>1747.5</x:v>
      </x:c>
      <x:c r="W17" t="n">
        <x:f>V17+U17</x:f>
        <x:v>2673.675</x:v>
      </x:c>
    </x:row>
    <x:row r="18">
      <x:c r="A18" t="str">
        <x:v>销售员001</x:v>
      </x:c>
      <x:c r="B18" t="str">
        <x:f>B4</x:f>
        <x:v>731.602222545453</x:v>
      </x:c>
      <x:c r="C18" t="str">
        <x:f>C4</x:f>
        <x:v>351.512005363636</x:v>
      </x:c>
      <x:c r="D18" t="str">
        <x:f>D4</x:f>
        <x:v>733.507436666665</x:v>
      </x:c>
      <x:c r="E18" t="str">
        <x:f>E4</x:f>
        <x:v>819.24207212121</x:v>
      </x:c>
      <x:c r="F18" t="str">
        <x:f>F4</x:f>
        <x:v>981.已脱敏电话019</x:v>
      </x:c>
      <x:c r="G18" t="str">
        <x:f>G4</x:f>
        <x:v>1038.3416960606</x:v>
      </x:c>
      <x:c r="H18"/>
      <x:c r="I18"/>
      <x:c r="J18"/>
      <x:c r="K18"/>
      <x:c r="L18"/>
      <x:c r="M18"/>
      <x:c r="N18" t="n">
        <x:f>SUM(B18:G18)</x:f>
        <x:v>0</x:v>
      </x:c>
      <x:c r="O18">
        <x:v>3460.5</x:v>
      </x:c>
      <x:c r="P18" t="e">
        <x:f>O18/N18</x:f>
        <x:v>#DIV/0!</x:v>
      </x:c>
      <x:c r="Q18" t="n">
        <x:f>O18-N18</x:f>
        <x:v>3460.5</x:v>
      </x:c>
      <x:c r="R18">
        <x:v>3048</x:v>
      </x:c>
      <x:c r="S18" t="n">
        <x:f>(O18-R18)/R18*1</x:f>
        <x:v>0.13533464566929135</x:v>
      </x:c>
      <x:c r="T18"/>
      <x:c r="U18"/>
      <x:c r="V18">
        <x:v>1780</x:v>
      </x:c>
      <x:c r="W18">
        <x:v>1780</x:v>
      </x:c>
    </x:row>
    <x:row r="19">
      <x:c r="A19" t="str">
        <x:v>销售员006</x:v>
      </x:c>
      <x:c r="B19" t="str">
        <x:f>B9</x:f>
        <x:v>3296.51144494545</x:v>
      </x:c>
      <x:c r="C19" t="str">
        <x:f>C9</x:f>
        <x:v>1583.87073331363</x:v>
      </x:c>
      <x:c r="D19" t="str">
        <x:f>D9</x:f>
        <x:v>3305.已脱敏电话018</x:v>
      </x:c>
      <x:c r="E19" t="str">
        <x:f>E9</x:f>
        <x:v>3691.4060451212</x:v>
      </x:c>
      <x:c r="F19" t="str">
        <x:f>F9</x:f>
        <x:v>4421.10258892423</x:v>
      </x:c>
      <x:c r="G19" t="str">
        <x:f>G9</x:f>
        <x:v>4678.6425455606</x:v>
      </x:c>
      <x:c r="H19"/>
      <x:c r="I19"/>
      <x:c r="J19"/>
      <x:c r="K19"/>
      <x:c r="L19"/>
      <x:c r="M19"/>
      <x:c r="N19" t="n">
        <x:f>SUM(B19:G19)</x:f>
        <x:v>0</x:v>
      </x:c>
      <x:c r="O19">
        <x:v>16184.16667</x:v>
      </x:c>
      <x:c r="P19" t="e">
        <x:f>O19/N19</x:f>
        <x:v>#DIV/0!</x:v>
      </x:c>
      <x:c r="Q19" t="n">
        <x:f>O19-N19</x:f>
        <x:v>16184.16667</x:v>
      </x:c>
      <x:c r="R19">
        <x:v>16280.9</x:v>
      </x:c>
      <x:c r="S19" t="n">
        <x:f>(O19-R19)/R19*1</x:f>
        <x:v>-0.005941522274567077</x:v>
      </x:c>
      <x:c r="T19"/>
      <x:c r="U19"/>
      <x:c r="V19">
        <x:v>8602</x:v>
      </x:c>
      <x:c r="W19">
        <x:v>8602</x:v>
      </x:c>
    </x:row>
    <x:row r="20">
      <x:c r="A20" t="str">
        <x:v>销售员005</x:v>
      </x:c>
      <x:c r="B20" t="str">
        <x:f>B8</x:f>
        <x:v>4190.65630254545</x:v>
      </x:c>
      <x:c r="C20" t="str">
        <x:f>C8</x:f>
        <x:v>2013.47939536363</x:v>
      </x:c>
      <x:c r="D20" t="str">
        <x:f>D8</x:f>
        <x:v>4201.56946999999</x:v>
      </x:c>
      <x:c r="E20" t="str">
        <x:f>E8</x:f>
        <x:v>4692.66200545454</x:v>
      </x:c>
      <x:c r="F20" t="str">
        <x:f>F8</x:f>
        <x:v>5620.2812390909</x:v>
      </x:c>
      <x:c r="G20" t="str">
        <x:f>G8</x:f>
        <x:v>5947.67626272726</x:v>
      </x:c>
      <x:c r="H20"/>
      <x:c r="I20"/>
      <x:c r="J20"/>
      <x:c r="K20"/>
      <x:c r="L20"/>
      <x:c r="M20"/>
      <x:c r="N20" t="n">
        <x:f>SUM(B20:G20)</x:f>
        <x:v>0</x:v>
      </x:c>
      <x:c r="O20">
        <x:v>20033</x:v>
      </x:c>
      <x:c r="P20" t="e">
        <x:f>O20/N20</x:f>
        <x:v>#DIV/0!</x:v>
      </x:c>
      <x:c r="Q20" t="n">
        <x:f>O20-N20</x:f>
        <x:v>20033</x:v>
      </x:c>
      <x:c r="R20">
        <x:v>19188.7</x:v>
      </x:c>
      <x:c r="S20" t="n">
        <x:f>(O20-R20)/R20*1</x:f>
        <x:v>0.04399985408078709</x:v>
      </x:c>
      <x:c r="T20"/>
      <x:c r="U20"/>
      <x:c r="V20">
        <x:v>9323.8</x:v>
      </x:c>
      <x:c r="W20">
        <x:v>9323.8</x:v>
      </x:c>
    </x:row>
    <x:row r="21">
      <x:c r="A21" t="str">
        <x:v>销售员007</x:v>
      </x:c>
      <x:c r="B21" t="str">
        <x:f>B10</x:f>
        <x:v>11227.9021707636</x:v>
      </x:c>
      <x:c r="C21" t="str">
        <x:f>C10</x:f>
        <x:v>5394.65612110908</x:v>
      </x:c>
      <x:c r="D21" t="str">
        <x:f>D10</x:f>
        <x:v>11257.1414993333</x:v>
      </x:c>
      <x:c r="E21" t="str">
        <x:f>E10</x:f>
        <x:v>12572.9112849697</x:v>
      </x:c>
      <x:c r="F21" t="str">
        <x:f>F10</x:f>
        <x:v>15058.2542133939</x:v>
      </x:c>
      <x:c r="G21" t="str">
        <x:f>G10</x:f>
        <x:v>15935.4340704848</x:v>
      </x:c>
      <x:c r="H21"/>
      <x:c r="I21"/>
      <x:c r="J21"/>
      <x:c r="K21"/>
      <x:c r="L21"/>
      <x:c r="M21"/>
      <x:c r="N21" t="n">
        <x:f>SUM(B21:G21)</x:f>
        <x:v>0</x:v>
      </x:c>
      <x:c r="O21" t="n">
        <x:f>SUM(O15:O20)</x:f>
        <x:v>0</x:v>
      </x:c>
      <x:c r="P21" t="e">
        <x:f>O21/N21</x:f>
        <x:v>#DIV/0!</x:v>
      </x:c>
      <x:c r="Q21" t="n">
        <x:f>O21-N21</x:f>
        <x:v>0</x:v>
      </x:c>
      <x:c r="R21" t="n">
        <x:f>SUM(R15:R20)</x:f>
        <x:v>0</x:v>
      </x:c>
      <x:c r="S21" t="e">
        <x:f>(O21-R21)/R21*1</x:f>
        <x:v>#DIV/0!</x:v>
      </x:c>
      <x:c r="T21"/>
      <x:c r="U21"/>
      <x:c r="V21">
        <x:v>25484.3</x:v>
      </x:c>
      <x:c r="W21" t="n">
        <x:f>SUM(W15:W20)</x:f>
        <x:v>5387.5</x:v>
      </x:c>
    </x:row>
    <x:row r="22">
      <x:c r="A22" t="s">
        <x:v>78</x:v>
      </x:c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</x:row>
    <x:row r="23">
      <x:c r="A23" t="s">
        <x:v>3</x:v>
      </x:c>
      <x:c r="B23"/>
      <x:c r="C23"/>
      <x:c r="D23"/>
      <x:c r="E23"/>
      <x:c r="F23"/>
      <x:c r="G23"/>
      <x:c r="H23"/>
      <x:c r="I23"/>
      <x:c r="J23"/>
      <x:c r="K23"/>
      <x:c r="L23"/>
      <x:c r="M23"/>
      <x:c r="N23" t="s">
        <x:v>76</x:v>
      </x:c>
      <x:c r="O23"/>
      <x:c r="P23"/>
      <x:c r="Q23"/>
      <x:c r="R23"/>
      <x:c r="S23"/>
      <x:c r="T23"/>
      <x:c r="U23"/>
      <x:c r="V23"/>
      <x:c r="W23"/>
    </x:row>
    <x:row r="24">
      <x:c r="A24" t="s">
        <x:v>3</x:v>
      </x:c>
      <x:c r="B24" t="s">
        <x:v>64</x:v>
      </x:c>
      <x:c r="C24" t="s">
        <x:v>65</x:v>
      </x:c>
      <x:c r="D24" t="s">
        <x:v>66</x:v>
      </x:c>
      <x:c r="E24" t="s">
        <x:v>67</x:v>
      </x:c>
      <x:c r="F24" t="s">
        <x:v>68</x:v>
      </x:c>
      <x:c r="G24" t="s">
        <x:v>69</x:v>
      </x:c>
      <x:c r="H24" t="s">
        <x:v>70</x:v>
      </x:c>
      <x:c r="I24" t="s">
        <x:v>71</x:v>
      </x:c>
      <x:c r="J24" t="s">
        <x:v>72</x:v>
      </x:c>
      <x:c r="K24" t="s">
        <x:v>73</x:v>
      </x:c>
      <x:c r="L24" t="s">
        <x:v>74</x:v>
      </x:c>
      <x:c r="M24" t="s">
        <x:v>75</x:v>
      </x:c>
      <x:c r="N24" t="s">
        <x:v>63</x:v>
      </x:c>
      <x:c r="O24" t="s">
        <x:v>21</x:v>
      </x:c>
      <x:c r="P24" t="s">
        <x:v>35</x:v>
      </x:c>
      <x:c r="Q24" t="s">
        <x:v>77</x:v>
      </x:c>
      <x:c r="R24" t="s">
        <x:v>49</x:v>
      </x:c>
      <x:c r="S24" t="s">
        <x:v>20</x:v>
      </x:c>
      <x:c r="T24"/>
      <x:c r="U24"/>
      <x:c r="V24"/>
      <x:c r="W24"/>
    </x:row>
    <x:row r="25">
      <x:c r="A25" t="str">
        <x:v>销售员003</x:v>
      </x:c>
      <x:c r="B25"/>
      <x:c r="C25"/>
      <x:c r="D25"/>
      <x:c r="E25"/>
      <x:c r="F25">
        <x:v>3951</x:v>
      </x:c>
      <x:c r="G25">
        <x:v>888</x:v>
      </x:c>
      <x:c r="H25"/>
      <x:c r="I25"/>
      <x:c r="J25"/>
      <x:c r="K25"/>
      <x:c r="L25"/>
      <x:c r="M25"/>
      <x:c r="N25" t="n">
        <x:f>SUM(B25:G25)</x:f>
        <x:v>0</x:v>
      </x:c>
      <x:c r="O25">
        <x:v>4675</x:v>
      </x:c>
      <x:c r="P25" t="e">
        <x:f>O25/N25</x:f>
        <x:v>#DIV/0!</x:v>
      </x:c>
      <x:c r="Q25" t="n">
        <x:f>O25-N25</x:f>
        <x:v>4675</x:v>
      </x:c>
      <x:c r="R25">
        <x:v>3469</x:v>
      </x:c>
      <x:c r="S25" t="n">
        <x:f>(O25-R25)/R25*1</x:f>
        <x:v>0.3476506197751513</x:v>
      </x:c>
      <x:c r="T25">
        <x:v>1747.5</x:v>
      </x:c>
      <x:c r="U25"/>
      <x:c r="V25">
        <x:v>2138.5</x:v>
      </x:c>
      <x:c r="W25">
        <x:v>1784</x:v>
      </x:c>
    </x:row>
    <x:row r="26">
      <x:c r="A26" t="str">
        <x:v>销售员004</x:v>
      </x:c>
      <x:c r="B26"/>
      <x:c r="C26"/>
      <x:c r="D26"/>
      <x:c r="E26"/>
      <x:c r="F26">
        <x:v>3700.5</x:v>
      </x:c>
      <x:c r="G26">
        <x:v>1370</x:v>
      </x:c>
      <x:c r="H26"/>
      <x:c r="I26"/>
      <x:c r="J26"/>
      <x:c r="K26"/>
      <x:c r="L26"/>
      <x:c r="M26"/>
      <x:c r="N26" t="n">
        <x:f>SUM(B26:G26)</x:f>
        <x:v>0</x:v>
      </x:c>
      <x:c r="O26">
        <x:v>3814.5</x:v>
      </x:c>
      <x:c r="P26" t="e">
        <x:f>O26/N26</x:f>
        <x:v>#DIV/0!</x:v>
      </x:c>
      <x:c r="Q26" t="n">
        <x:f>O26-N26</x:f>
        <x:v>3814.5</x:v>
      </x:c>
      <x:c r="R26">
        <x:v>5818.79</x:v>
      </x:c>
      <x:c r="S26" t="n">
        <x:f>(O26-R26)/R26*1</x:f>
        <x:v>-0.3444513378210934</x:v>
      </x:c>
      <x:c r="T26">
        <x:v>0.47</x:v>
      </x:c>
      <x:c r="U26" t="n">
        <x:f>T26*T25</x:f>
        <x:v>821.3249999999999</x:v>
      </x:c>
      <x:c r="V26">
        <x:v>1892.5</x:v>
      </x:c>
      <x:c r="W26" t="n">
        <x:f>U26+V26</x:f>
        <x:v>2713.825</x:v>
      </x:c>
    </x:row>
    <x:row r="27">
      <x:c r="A27" t="str">
        <x:v>销售员002</x:v>
      </x:c>
      <x:c r="B27"/>
      <x:c r="C27"/>
      <x:c r="D27"/>
      <x:c r="E27"/>
      <x:c r="F27">
        <x:v>4507</x:v>
      </x:c>
      <x:c r="G27">
        <x:v>748.5</x:v>
      </x:c>
      <x:c r="H27"/>
      <x:c r="I27"/>
      <x:c r="J27"/>
      <x:c r="K27"/>
      <x:c r="L27"/>
      <x:c r="M27"/>
      <x:c r="N27" t="n">
        <x:f>SUM(B27:G27)</x:f>
        <x:v>0</x:v>
      </x:c>
      <x:c r="O27">
        <x:v>3494</x:v>
      </x:c>
      <x:c r="P27" t="e">
        <x:f>O27/N27</x:f>
        <x:v>#DIV/0!</x:v>
      </x:c>
      <x:c r="Q27" t="n">
        <x:f>O27-N27</x:f>
        <x:v>3494</x:v>
      </x:c>
      <x:c r="R27">
        <x:v>6339.71</x:v>
      </x:c>
      <x:c r="S27" t="n">
        <x:f>(O27-R27)/R27*1</x:f>
        <x:v>-0.44887068966877036</x:v>
      </x:c>
      <x:c r="T27">
        <x:v>0.53</x:v>
      </x:c>
      <x:c r="U27" t="n">
        <x:f>T27*T25</x:f>
        <x:v>926.1750000000001</x:v>
      </x:c>
      <x:c r="V27">
        <x:v>1747.5</x:v>
      </x:c>
      <x:c r="W27" t="n">
        <x:f>V27+U27</x:f>
        <x:v>2673.675</x:v>
      </x:c>
    </x:row>
    <x:row r="28">
      <x:c r="A28" t="str">
        <x:v>销售员001</x:v>
      </x:c>
      <x:c r="B28"/>
      <x:c r="C28"/>
      <x:c r="D28"/>
      <x:c r="E28"/>
      <x:c r="F28">
        <x:v>3048</x:v>
      </x:c>
      <x:c r="G28">
        <x:v>927</x:v>
      </x:c>
      <x:c r="H28"/>
      <x:c r="I28"/>
      <x:c r="J28"/>
      <x:c r="K28"/>
      <x:c r="L28"/>
      <x:c r="M28"/>
      <x:c r="N28" t="n">
        <x:f>SUM(B28:G28)</x:f>
        <x:v>0</x:v>
      </x:c>
      <x:c r="O28">
        <x:v>3460.5</x:v>
      </x:c>
      <x:c r="P28" t="e">
        <x:f>O28/N28</x:f>
        <x:v>#DIV/0!</x:v>
      </x:c>
      <x:c r="Q28" t="n">
        <x:f>O28-N28</x:f>
        <x:v>3460.5</x:v>
      </x:c>
      <x:c r="R28">
        <x:v>3048</x:v>
      </x:c>
      <x:c r="S28" t="n">
        <x:f>(O28-R28)/R28*1</x:f>
        <x:v>0.13533464566929135</x:v>
      </x:c>
      <x:c r="T28"/>
      <x:c r="U28"/>
      <x:c r="V28">
        <x:v>1780</x:v>
      </x:c>
      <x:c r="W28">
        <x:v>1780</x:v>
      </x:c>
    </x:row>
    <x:row r="29">
      <x:c r="A29" t="str">
        <x:v>销售员009</x:v>
      </x:c>
      <x:c r="B29"/>
      <x:c r="C29"/>
      <x:c r="D29"/>
      <x:c r="E29"/>
      <x:c r="F29">
        <x:v>3469</x:v>
      </x:c>
      <x:c r="G29">
        <x:v>1045</x:v>
      </x:c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</x:row>
    <x:row r="30">
      <x:c r="A30" t="str">
        <x:v>销售员006</x:v>
      </x:c>
      <x:c r="B30"/>
      <x:c r="C30"/>
      <x:c r="D30"/>
      <x:c r="E30"/>
      <x:c r="F30">
        <x:v>16280.9</x:v>
      </x:c>
      <x:c r="G30">
        <x:v>3846.5</x:v>
      </x:c>
      <x:c r="H30"/>
      <x:c r="I30"/>
      <x:c r="J30"/>
      <x:c r="K30"/>
      <x:c r="L30"/>
      <x:c r="M30"/>
      <x:c r="N30" t="n">
        <x:f>SUM(B30:G30)</x:f>
        <x:v>0</x:v>
      </x:c>
      <x:c r="O30">
        <x:v>16184.16667</x:v>
      </x:c>
      <x:c r="P30" t="e">
        <x:f>O30/N30</x:f>
        <x:v>#DIV/0!</x:v>
      </x:c>
      <x:c r="Q30" t="n">
        <x:f>O30-N30</x:f>
        <x:v>16184.16667</x:v>
      </x:c>
      <x:c r="R30">
        <x:v>16280.9</x:v>
      </x:c>
      <x:c r="S30" t="n">
        <x:f>(O30-R30)/R30*1</x:f>
        <x:v>-0.005941522274567077</x:v>
      </x:c>
      <x:c r="T30"/>
      <x:c r="U30"/>
      <x:c r="V30">
        <x:v>8602</x:v>
      </x:c>
      <x:c r="W30">
        <x:v>8602</x:v>
      </x:c>
    </x:row>
    <x:row r="31">
      <x:c r="A31" t="str">
        <x:v>销售员005</x:v>
      </x:c>
      <x:c r="B31"/>
      <x:c r="C31"/>
      <x:c r="D31"/>
      <x:c r="E31"/>
      <x:c r="F31">
        <x:v>19228.7</x:v>
      </x:c>
      <x:c r="G31">
        <x:v>5955.4</x:v>
      </x:c>
      <x:c r="H31"/>
      <x:c r="I31"/>
      <x:c r="J31"/>
      <x:c r="K31"/>
      <x:c r="L31"/>
      <x:c r="M31"/>
      <x:c r="N31" t="n">
        <x:f>SUM(B31:G31)</x:f>
        <x:v>0</x:v>
      </x:c>
      <x:c r="O31">
        <x:v>20033</x:v>
      </x:c>
      <x:c r="P31" t="e">
        <x:f>O31/N31</x:f>
        <x:v>#DIV/0!</x:v>
      </x:c>
      <x:c r="Q31" t="n">
        <x:f>O31-N31</x:f>
        <x:v>20033</x:v>
      </x:c>
      <x:c r="R31">
        <x:v>19188.7</x:v>
      </x:c>
      <x:c r="S31" t="n">
        <x:f>(O31-R31)/R31*1</x:f>
        <x:v>0.04399985408078709</x:v>
      </x:c>
      <x:c r="T31"/>
      <x:c r="U31"/>
      <x:c r="V31">
        <x:v>9323.8</x:v>
      </x:c>
      <x:c r="W31">
        <x:v>9323.8</x:v>
      </x:c>
    </x:row>
    <x:row r="32">
      <x:c r="A32" t="str">
        <x:v>销售员007</x:v>
      </x:c>
      <x:c r="B32"/>
      <x:c r="C32"/>
      <x:c r="D32"/>
      <x:c r="E32"/>
      <x:c r="F32">
        <x:v>54512.1</x:v>
      </x:c>
      <x:c r="G32" t="n">
        <x:f>SUM(G25:G31)</x:f>
        <x:v>0</x:v>
      </x:c>
      <x:c r="H32"/>
      <x:c r="I32"/>
      <x:c r="J32"/>
      <x:c r="K32"/>
      <x:c r="L32"/>
      <x:c r="M32"/>
      <x:c r="N32" t="n">
        <x:f>SUM(B32:G32)</x:f>
        <x:v>0</x:v>
      </x:c>
      <x:c r="O32" t="n">
        <x:f>SUM(O25:O31)</x:f>
        <x:v>0</x:v>
      </x:c>
      <x:c r="P32" t="e">
        <x:f>O32/N32</x:f>
        <x:v>#DIV/0!</x:v>
      </x:c>
      <x:c r="Q32" t="n">
        <x:f>O32-N32</x:f>
        <x:v>0</x:v>
      </x:c>
      <x:c r="R32" t="n">
        <x:f>SUM(R25:R31)</x:f>
        <x:v>0</x:v>
      </x:c>
      <x:c r="S32" t="e">
        <x:f>(O32-R32)/R32*1</x:f>
        <x:v>#DIV/0!</x:v>
      </x:c>
      <x:c r="T32"/>
      <x:c r="U32"/>
      <x:c r="V32">
        <x:v>25484.3</x:v>
      </x:c>
      <x:c r="W32" t="n">
        <x:f>SUM(W25:W31)</x:f>
        <x:v>5387.5</x:v>
      </x:c>
    </x:row>
    <x:row r="33">
      <x:c r="A33" t="str">
        <x:v>销售员010</x:v>
      </x:c>
      <x:c r="B33"/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</x:row>
    <x:row r="34">
      <x:c r="A34" t="str">
        <x:v>销售员011</x:v>
      </x:c>
      <x:c r="B34" t="n">
        <x:f>B27*0.47</x:f>
        <x:v>0</x:v>
      </x:c>
      <x:c r="C34" t="n">
        <x:f>C27*0.47</x:f>
        <x:v>0</x:v>
      </x:c>
      <x:c r="D34" t="n">
        <x:f>D27*0.47</x:f>
        <x:v>0</x:v>
      </x:c>
      <x:c r="E34" t="n">
        <x:f>E27*0.47</x:f>
        <x:v>0</x:v>
      </x:c>
      <x:c r="F34" t="n">
        <x:f>F27*0.47</x:f>
        <x:v>2118.29</x:v>
      </x:c>
      <x:c r="G34" t="n">
        <x:f>G27*0.47</x:f>
        <x:v>351.79499999999996</x:v>
      </x:c>
      <x:c r="H34" t="n">
        <x:f>H27*0.47</x:f>
        <x:v>0</x:v>
      </x:c>
      <x:c r="I34" t="n">
        <x:f>I27*0.47</x:f>
        <x:v>0</x:v>
      </x:c>
      <x:c r="J34" t="n">
        <x:f>J27*0.47</x:f>
        <x:v>0</x:v>
      </x:c>
      <x:c r="K34" t="n">
        <x:f>K27*0.47</x:f>
        <x:v>0</x:v>
      </x:c>
      <x:c r="L34" t="n">
        <x:f>L27*0.47</x:f>
        <x:v>0</x:v>
      </x:c>
      <x:c r="M34" t="n">
        <x:f>M27*0.47</x:f>
        <x:v>0</x:v>
      </x:c>
      <x:c r="N34"/>
      <x:c r="O34"/>
      <x:c r="P34"/>
      <x:c r="Q34"/>
      <x:c r="R34"/>
      <x:c r="S34"/>
      <x:c r="T34"/>
      <x:c r="U34"/>
      <x:c r="V34"/>
      <x:c r="W34"/>
    </x:row>
    <x:row r="35">
      <x:c r="A35" t="str">
        <x:v>销售员012</x:v>
      </x:c>
      <x:c r="B35" t="n">
        <x:f>B27*0.53</x:f>
        <x:v>0</x:v>
      </x:c>
      <x:c r="C35" t="n">
        <x:f>C27*0.53</x:f>
        <x:v>0</x:v>
      </x:c>
      <x:c r="D35" t="n">
        <x:f>D27*0.53</x:f>
        <x:v>0</x:v>
      </x:c>
      <x:c r="E35" t="n">
        <x:f>E27*0.53</x:f>
        <x:v>0</x:v>
      </x:c>
      <x:c r="F35" t="n">
        <x:f>F27*0.53</x:f>
        <x:v>2388.71</x:v>
      </x:c>
      <x:c r="G35" t="n">
        <x:f>G27*0.53</x:f>
        <x:v>396.70500000000004</x:v>
      </x:c>
      <x:c r="H35" t="n">
        <x:f>H27*0.53</x:f>
        <x:v>0</x:v>
      </x:c>
      <x:c r="I35" t="n">
        <x:f>I27*0.53</x:f>
        <x:v>0</x:v>
      </x:c>
      <x:c r="J35" t="n">
        <x:f>J27*0.53</x:f>
        <x:v>0</x:v>
      </x:c>
      <x:c r="K35" t="n">
        <x:f>K27*0.53</x:f>
        <x:v>0</x:v>
      </x:c>
      <x:c r="L35" t="n">
        <x:f>L27*0.53</x:f>
        <x:v>0</x:v>
      </x:c>
      <x:c r="M35" t="n">
        <x:f>M27*0.53</x:f>
        <x:v>0</x:v>
      </x:c>
      <x:c r="N35"/>
      <x:c r="O35"/>
      <x:c r="P35"/>
      <x:c r="Q35"/>
      <x:c r="R35"/>
      <x:c r="S35"/>
      <x:c r="T35"/>
      <x:c r="U35"/>
      <x:c r="V35"/>
      <x:c r="W35"/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</x:row>
    <x:row r="38">
      <x:c r="A38" t="s">
        <x:v>79</x:v>
      </x:c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</x:row>
    <x:row r="39">
      <x:c r="A39" t="s">
        <x:v>3</x:v>
      </x:c>
      <x:c r="B39" t="s">
        <x:v>64</x:v>
      </x:c>
      <x:c r="C39" t="s">
        <x:v>65</x:v>
      </x:c>
      <x:c r="D39" t="s">
        <x:v>66</x:v>
      </x:c>
      <x:c r="E39" t="s">
        <x:v>67</x:v>
      </x:c>
      <x:c r="F39"/>
      <x:c r="G39"/>
      <x:c r="H39"/>
      <x:c r="I39"/>
      <x:c r="J39"/>
      <x:c r="K39"/>
      <x:c r="L39"/>
      <x:c r="M39"/>
      <x:c r="N39" t="s">
        <x:v>76</x:v>
      </x:c>
      <x:c r="O39"/>
      <x:c r="P39"/>
      <x:c r="Q39"/>
      <x:c r="R39"/>
      <x:c r="S39"/>
      <x:c r="T39"/>
      <x:c r="U39"/>
      <x:c r="V39"/>
      <x:c r="W39"/>
    </x:row>
    <x:row r="40">
      <x:c r="A40" t="s">
        <x:v>3</x:v>
      </x:c>
      <x:c r="B40" t="s">
        <x:v>64</x:v>
      </x:c>
      <x:c r="C40" t="s">
        <x:v>65</x:v>
      </x:c>
      <x:c r="D40" t="s">
        <x:v>66</x:v>
      </x:c>
      <x:c r="E40" t="s">
        <x:v>67</x:v>
      </x:c>
      <x:c r="F40" t="s">
        <x:v>68</x:v>
      </x:c>
      <x:c r="G40" t="s">
        <x:v>69</x:v>
      </x:c>
      <x:c r="H40" t="s">
        <x:v>70</x:v>
      </x:c>
      <x:c r="I40" t="s">
        <x:v>71</x:v>
      </x:c>
      <x:c r="J40" t="s">
        <x:v>72</x:v>
      </x:c>
      <x:c r="K40" t="s">
        <x:v>73</x:v>
      </x:c>
      <x:c r="L40" t="s">
        <x:v>74</x:v>
      </x:c>
      <x:c r="M40" t="s">
        <x:v>75</x:v>
      </x:c>
      <x:c r="N40" t="s">
        <x:v>63</x:v>
      </x:c>
      <x:c r="O40" t="s">
        <x:v>21</x:v>
      </x:c>
      <x:c r="P40" t="s">
        <x:v>35</x:v>
      </x:c>
      <x:c r="Q40" t="s">
        <x:v>77</x:v>
      </x:c>
      <x:c r="R40" t="s">
        <x:v>49</x:v>
      </x:c>
      <x:c r="S40" t="s">
        <x:v>20</x:v>
      </x:c>
      <x:c r="T40"/>
      <x:c r="U40"/>
      <x:c r="V40"/>
      <x:c r="W40"/>
    </x:row>
    <x:row r="41">
      <x:c r="A41" t="str">
        <x:v>销售员003</x:v>
      </x:c>
      <x:c r="B41" t="n">
        <x:f>B28</x:f>
        <x:v>0</x:v>
      </x:c>
      <x:c r="C41" t="n">
        <x:f>C28</x:f>
        <x:v>0</x:v>
      </x:c>
      <x:c r="D41" t="n">
        <x:f>D28</x:f>
        <x:v>0</x:v>
      </x:c>
      <x:c r="E41" t="n">
        <x:f>E28</x:f>
        <x:v>0</x:v>
      </x:c>
      <x:c r="F41" t="str">
        <x:f>F28</x:f>
        <x:v>3048</x:v>
      </x:c>
      <x:c r="G41" t="str">
        <x:f>G28</x:f>
        <x:v>927</x:v>
      </x:c>
      <x:c r="H41" t="n">
        <x:f>H28</x:f>
        <x:v>0</x:v>
      </x:c>
      <x:c r="I41" t="n">
        <x:f>I28</x:f>
        <x:v>0</x:v>
      </x:c>
      <x:c r="J41" t="n">
        <x:f>J28</x:f>
        <x:v>0</x:v>
      </x:c>
      <x:c r="K41" t="n">
        <x:f>K28</x:f>
        <x:v>0</x:v>
      </x:c>
      <x:c r="L41" t="n">
        <x:f>L28</x:f>
        <x:v>0</x:v>
      </x:c>
      <x:c r="M41" t="n">
        <x:f>M28</x:f>
        <x:v>0</x:v>
      </x:c>
      <x:c r="N41" t="n">
        <x:f>SUM(B41:G41)</x:f>
        <x:v>0</x:v>
      </x:c>
      <x:c r="O41">
        <x:v>4675</x:v>
      </x:c>
      <x:c r="P41" t="e">
        <x:f>O41/N41</x:f>
        <x:v>#DIV/0!</x:v>
      </x:c>
      <x:c r="Q41" t="n">
        <x:f>O41-N41</x:f>
        <x:v>4675</x:v>
      </x:c>
      <x:c r="R41">
        <x:v>3469</x:v>
      </x:c>
      <x:c r="S41" t="n">
        <x:f>(O41-R41)/R41*1</x:f>
        <x:v>0.3476506197751513</x:v>
      </x:c>
      <x:c r="T41">
        <x:v>1747.5</x:v>
      </x:c>
      <x:c r="U41"/>
      <x:c r="V41">
        <x:v>2138.5</x:v>
      </x:c>
      <x:c r="W41">
        <x:v>1784</x:v>
      </x:c>
    </x:row>
    <x:row r="42">
      <x:c r="A42" t="str">
        <x:v>销售员004</x:v>
      </x:c>
      <x:c r="B42" t="n">
        <x:f>B29</x:f>
        <x:v>0</x:v>
      </x:c>
      <x:c r="C42" t="n">
        <x:f>C29</x:f>
        <x:v>0</x:v>
      </x:c>
      <x:c r="D42" t="n">
        <x:f>D29</x:f>
        <x:v>0</x:v>
      </x:c>
      <x:c r="E42" t="n">
        <x:f>E29</x:f>
        <x:v>0</x:v>
      </x:c>
      <x:c r="F42" t="str">
        <x:f>F29</x:f>
        <x:v>3469</x:v>
      </x:c>
      <x:c r="G42" t="str">
        <x:f>G29</x:f>
        <x:v>1045</x:v>
      </x:c>
      <x:c r="H42" t="n">
        <x:f>H29</x:f>
        <x:v>0</x:v>
      </x:c>
      <x:c r="I42" t="n">
        <x:f>I29</x:f>
        <x:v>0</x:v>
      </x:c>
      <x:c r="J42" t="n">
        <x:f>J29</x:f>
        <x:v>0</x:v>
      </x:c>
      <x:c r="K42" t="n">
        <x:f>K29</x:f>
        <x:v>0</x:v>
      </x:c>
      <x:c r="L42" t="n">
        <x:f>L29</x:f>
        <x:v>0</x:v>
      </x:c>
      <x:c r="M42" t="n">
        <x:f>M29</x:f>
        <x:v>0</x:v>
      </x:c>
      <x:c r="N42" t="n">
        <x:f>SUM(B42:G42)</x:f>
        <x:v>0</x:v>
      </x:c>
      <x:c r="O42">
        <x:v>3814.5</x:v>
      </x:c>
      <x:c r="P42" t="e">
        <x:f>O42/N42</x:f>
        <x:v>#DIV/0!</x:v>
      </x:c>
      <x:c r="Q42" t="n">
        <x:f>O42-N42</x:f>
        <x:v>3814.5</x:v>
      </x:c>
      <x:c r="R42">
        <x:v>5818.79</x:v>
      </x:c>
      <x:c r="S42" t="n">
        <x:f>(O42-R42)/R42*1</x:f>
        <x:v>-0.3444513378210934</x:v>
      </x:c>
      <x:c r="T42">
        <x:v>0.47</x:v>
      </x:c>
      <x:c r="U42" t="n">
        <x:f>T42*T41</x:f>
        <x:v>821.3249999999999</x:v>
      </x:c>
      <x:c r="V42">
        <x:v>1892.5</x:v>
      </x:c>
      <x:c r="W42" t="n">
        <x:f>U42+V42</x:f>
        <x:v>2713.825</x:v>
      </x:c>
    </x:row>
    <x:row r="43">
      <x:c r="A43" t="str">
        <x:v>销售员002</x:v>
      </x:c>
      <x:c r="B43" t="n">
        <x:f>B27</x:f>
        <x:v>0</x:v>
      </x:c>
      <x:c r="C43" t="n">
        <x:f>C27</x:f>
        <x:v>0</x:v>
      </x:c>
      <x:c r="D43" t="n">
        <x:f>D27</x:f>
        <x:v>0</x:v>
      </x:c>
      <x:c r="E43" t="n">
        <x:f>E27</x:f>
        <x:v>0</x:v>
      </x:c>
      <x:c r="F43" t="str">
        <x:f>F27</x:f>
        <x:v>4507</x:v>
      </x:c>
      <x:c r="G43" t="str">
        <x:f>G27</x:f>
        <x:v>748.5</x:v>
      </x:c>
      <x:c r="H43" t="n">
        <x:f>H27</x:f>
        <x:v>0</x:v>
      </x:c>
      <x:c r="I43" t="n">
        <x:f>I27</x:f>
        <x:v>0</x:v>
      </x:c>
      <x:c r="J43" t="n">
        <x:f>J27</x:f>
        <x:v>0</x:v>
      </x:c>
      <x:c r="K43" t="n">
        <x:f>K27</x:f>
        <x:v>0</x:v>
      </x:c>
      <x:c r="L43" t="n">
        <x:f>L27</x:f>
        <x:v>0</x:v>
      </x:c>
      <x:c r="M43" t="n">
        <x:f>M27</x:f>
        <x:v>0</x:v>
      </x:c>
      <x:c r="N43" t="n">
        <x:f>SUM(B43:G43)</x:f>
        <x:v>0</x:v>
      </x:c>
      <x:c r="O43">
        <x:v>3494</x:v>
      </x:c>
      <x:c r="P43" t="e">
        <x:f>O43/N43</x:f>
        <x:v>#DIV/0!</x:v>
      </x:c>
      <x:c r="Q43" t="n">
        <x:f>O43-N43</x:f>
        <x:v>3494</x:v>
      </x:c>
      <x:c r="R43">
        <x:v>6339.71</x:v>
      </x:c>
      <x:c r="S43" t="n">
        <x:f>(O43-R43)/R43*1</x:f>
        <x:v>-0.44887068966877036</x:v>
      </x:c>
      <x:c r="T43">
        <x:v>0.53</x:v>
      </x:c>
      <x:c r="U43" t="n">
        <x:f>T43*T41</x:f>
        <x:v>926.1750000000001</x:v>
      </x:c>
      <x:c r="V43">
        <x:v>1747.5</x:v>
      </x:c>
      <x:c r="W43" t="n">
        <x:f>V43+U43</x:f>
        <x:v>2673.675</x:v>
      </x:c>
    </x:row>
    <x:row r="44">
      <x:c r="A44" t="str">
        <x:v>销售员001</x:v>
      </x:c>
      <x:c r="B44" t="n">
        <x:f>B26</x:f>
        <x:v>0</x:v>
      </x:c>
      <x:c r="C44" t="n">
        <x:f>C26</x:f>
        <x:v>0</x:v>
      </x:c>
      <x:c r="D44" t="n">
        <x:f>D26</x:f>
        <x:v>0</x:v>
      </x:c>
      <x:c r="E44" t="n">
        <x:f>E26</x:f>
        <x:v>0</x:v>
      </x:c>
      <x:c r="F44" t="str">
        <x:f>F26</x:f>
        <x:v>3700.5</x:v>
      </x:c>
      <x:c r="G44" t="str">
        <x:f>G26</x:f>
        <x:v>1370</x:v>
      </x:c>
      <x:c r="H44" t="n">
        <x:f>H26</x:f>
        <x:v>0</x:v>
      </x:c>
      <x:c r="I44" t="n">
        <x:f>I26</x:f>
        <x:v>0</x:v>
      </x:c>
      <x:c r="J44" t="n">
        <x:f>J26</x:f>
        <x:v>0</x:v>
      </x:c>
      <x:c r="K44" t="n">
        <x:f>K26</x:f>
        <x:v>0</x:v>
      </x:c>
      <x:c r="L44" t="n">
        <x:f>L26</x:f>
        <x:v>0</x:v>
      </x:c>
      <x:c r="M44" t="n">
        <x:f>M26</x:f>
        <x:v>0</x:v>
      </x:c>
      <x:c r="N44" t="n">
        <x:f>SUM(B44:G44)</x:f>
        <x:v>0</x:v>
      </x:c>
      <x:c r="O44">
        <x:v>3460.5</x:v>
      </x:c>
      <x:c r="P44" t="e">
        <x:f>O44/N44</x:f>
        <x:v>#DIV/0!</x:v>
      </x:c>
      <x:c r="Q44" t="n">
        <x:f>O44-N44</x:f>
        <x:v>3460.5</x:v>
      </x:c>
      <x:c r="R44">
        <x:v>3048</x:v>
      </x:c>
      <x:c r="S44" t="n">
        <x:f>(O44-R44)/R44*1</x:f>
        <x:v>0.13533464566929135</x:v>
      </x:c>
      <x:c r="T44"/>
      <x:c r="U44"/>
      <x:c r="V44">
        <x:v>1780</x:v>
      </x:c>
      <x:c r="W44">
        <x:v>1780</x:v>
      </x:c>
    </x:row>
    <x:row r="45">
      <x:c r="A45" t="str">
        <x:v>销售员006</x:v>
      </x:c>
      <x:c r="B45" t="n">
        <x:f>B31</x:f>
        <x:v>0</x:v>
      </x:c>
      <x:c r="C45" t="n">
        <x:f>C31</x:f>
        <x:v>0</x:v>
      </x:c>
      <x:c r="D45" t="n">
        <x:f>D31</x:f>
        <x:v>0</x:v>
      </x:c>
      <x:c r="E45" t="n">
        <x:f>E31</x:f>
        <x:v>0</x:v>
      </x:c>
      <x:c r="F45" t="str">
        <x:f>F31</x:f>
        <x:v>19228.7</x:v>
      </x:c>
      <x:c r="G45" t="str">
        <x:f>G31</x:f>
        <x:v>5955.4</x:v>
      </x:c>
      <x:c r="H45" t="n">
        <x:f>H31</x:f>
        <x:v>0</x:v>
      </x:c>
      <x:c r="I45" t="n">
        <x:f>I31</x:f>
        <x:v>0</x:v>
      </x:c>
      <x:c r="J45" t="n">
        <x:f>J31</x:f>
        <x:v>0</x:v>
      </x:c>
      <x:c r="K45" t="n">
        <x:f>K31</x:f>
        <x:v>0</x:v>
      </x:c>
      <x:c r="L45" t="n">
        <x:f>L31</x:f>
        <x:v>0</x:v>
      </x:c>
      <x:c r="M45" t="n">
        <x:f>M31</x:f>
        <x:v>0</x:v>
      </x:c>
      <x:c r="N45" t="n">
        <x:f>SUM(B45:G45)</x:f>
        <x:v>0</x:v>
      </x:c>
      <x:c r="O45">
        <x:v>16184.16667</x:v>
      </x:c>
      <x:c r="P45" t="e">
        <x:f>O45/N45</x:f>
        <x:v>#DIV/0!</x:v>
      </x:c>
      <x:c r="Q45" t="n">
        <x:f>O45-N45</x:f>
        <x:v>16184.16667</x:v>
      </x:c>
      <x:c r="R45">
        <x:v>16280.9</x:v>
      </x:c>
      <x:c r="S45" t="n">
        <x:f>(O45-R45)/R45*1</x:f>
        <x:v>-0.005941522274567077</x:v>
      </x:c>
      <x:c r="T45"/>
      <x:c r="U45"/>
      <x:c r="V45">
        <x:v>8602</x:v>
      </x:c>
      <x:c r="W45">
        <x:v>8602</x:v>
      </x:c>
    </x:row>
    <x:row r="46">
      <x:c r="A46" t="str">
        <x:v>销售员005</x:v>
      </x:c>
      <x:c r="B46" t="n">
        <x:f>B30</x:f>
        <x:v>0</x:v>
      </x:c>
      <x:c r="C46" t="n">
        <x:f>C30</x:f>
        <x:v>0</x:v>
      </x:c>
      <x:c r="D46" t="n">
        <x:f>D30</x:f>
        <x:v>0</x:v>
      </x:c>
      <x:c r="E46" t="n">
        <x:f>E30</x:f>
        <x:v>0</x:v>
      </x:c>
      <x:c r="F46" t="str">
        <x:f>F30</x:f>
        <x:v>16280.9</x:v>
      </x:c>
      <x:c r="G46" t="str">
        <x:f>G30</x:f>
        <x:v>3846.5</x:v>
      </x:c>
      <x:c r="H46" t="n">
        <x:f>H30</x:f>
        <x:v>0</x:v>
      </x:c>
      <x:c r="I46" t="n">
        <x:f>I30</x:f>
        <x:v>0</x:v>
      </x:c>
      <x:c r="J46" t="n">
        <x:f>J30</x:f>
        <x:v>0</x:v>
      </x:c>
      <x:c r="K46" t="n">
        <x:f>K30</x:f>
        <x:v>0</x:v>
      </x:c>
      <x:c r="L46" t="n">
        <x:f>L30</x:f>
        <x:v>0</x:v>
      </x:c>
      <x:c r="M46" t="n">
        <x:f>M30</x:f>
        <x:v>0</x:v>
      </x:c>
      <x:c r="N46" t="n">
        <x:f>SUM(B46:G46)</x:f>
        <x:v>0</x:v>
      </x:c>
      <x:c r="O46">
        <x:v>20033</x:v>
      </x:c>
      <x:c r="P46" t="e">
        <x:f>O46/N46</x:f>
        <x:v>#DIV/0!</x:v>
      </x:c>
      <x:c r="Q46" t="n">
        <x:f>O46-N46</x:f>
        <x:v>20033</x:v>
      </x:c>
      <x:c r="R46">
        <x:v>19188.7</x:v>
      </x:c>
      <x:c r="S46" t="n">
        <x:f>(O46-R46)/R46*1</x:f>
        <x:v>0.04399985408078709</x:v>
      </x:c>
      <x:c r="T46"/>
      <x:c r="U46"/>
      <x:c r="V46">
        <x:v>9323.8</x:v>
      </x:c>
      <x:c r="W46">
        <x:v>9323.8</x:v>
      </x:c>
    </x:row>
    <x:row r="47">
      <x:c r="A47" t="str">
        <x:v>销售员007</x:v>
      </x:c>
      <x:c r="B47"/>
      <x:c r="C47"/>
      <x:c r="D47"/>
      <x:c r="E47"/>
      <x:c r="F47" t="str">
        <x:f>F32</x:f>
        <x:v>54512.1</x:v>
      </x:c>
      <x:c r="G47" t="n">
        <x:f>G32</x:f>
        <x:v>0</x:v>
      </x:c>
      <x:c r="H47" t="n">
        <x:f>H32</x:f>
        <x:v>0</x:v>
      </x:c>
      <x:c r="I47" t="n">
        <x:f>I32</x:f>
        <x:v>0</x:v>
      </x:c>
      <x:c r="J47" t="n">
        <x:f>J32</x:f>
        <x:v>0</x:v>
      </x:c>
      <x:c r="K47" t="n">
        <x:f>K32</x:f>
        <x:v>0</x:v>
      </x:c>
      <x:c r="L47" t="n">
        <x:f>L32</x:f>
        <x:v>0</x:v>
      </x:c>
      <x:c r="M47" t="n">
        <x:f>M32</x:f>
        <x:v>0</x:v>
      </x:c>
      <x:c r="N47" t="n">
        <x:f>SUM(B47:G47)</x:f>
        <x:v>0</x:v>
      </x:c>
      <x:c r="O47" t="n">
        <x:f>SUM(O41:O46)</x:f>
        <x:v>0</x:v>
      </x:c>
      <x:c r="P47" t="e">
        <x:f>O47/N47</x:f>
        <x:v>#DIV/0!</x:v>
      </x:c>
      <x:c r="Q47" t="n">
        <x:f>O47-N47</x:f>
        <x:v>0</x:v>
      </x:c>
      <x:c r="R47" t="n">
        <x:f>SUM(R41:R46)</x:f>
        <x:v>0</x:v>
      </x:c>
      <x:c r="S47" t="e">
        <x:f>(O47-R47)/R47*1</x:f>
        <x:v>#DIV/0!</x:v>
      </x:c>
      <x:c r="T47"/>
      <x:c r="U47"/>
      <x:c r="V47">
        <x:v>25484.3</x:v>
      </x:c>
      <x:c r="W47" t="n">
        <x:f>SUM(W41:W46)</x:f>
        <x:v>5387.5</x:v>
      </x:c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</x:row>
    <x:row r="49">
      <x:c r="A49" t="s">
        <x:v>80</x:v>
      </x:c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</x:row>
    <x:row r="50">
      <x:c r="A50" t="s">
        <x:v>3</x:v>
      </x:c>
      <x:c r="B50"/>
      <x:c r="C50"/>
      <x:c r="D50"/>
      <x:c r="E50"/>
      <x:c r="F50"/>
      <x:c r="G50"/>
      <x:c r="H50"/>
      <x:c r="I50"/>
      <x:c r="J50"/>
      <x:c r="K50"/>
      <x:c r="L50"/>
      <x:c r="M50"/>
      <x:c r="N50" t="s">
        <x:v>76</x:v>
      </x:c>
      <x:c r="O50"/>
      <x:c r="P50"/>
      <x:c r="Q50"/>
      <x:c r="R50"/>
      <x:c r="S50"/>
      <x:c r="T50"/>
      <x:c r="U50"/>
      <x:c r="V50"/>
      <x:c r="W50"/>
    </x:row>
    <x:row r="51">
      <x:c r="A51" t="s">
        <x:v>3</x:v>
      </x:c>
      <x:c r="B51" t="s">
        <x:v>64</x:v>
      </x:c>
      <x:c r="C51" t="s">
        <x:v>65</x:v>
      </x:c>
      <x:c r="D51" t="s">
        <x:v>66</x:v>
      </x:c>
      <x:c r="E51" t="s">
        <x:v>67</x:v>
      </x:c>
      <x:c r="F51" t="s">
        <x:v>68</x:v>
      </x:c>
      <x:c r="G51" t="s">
        <x:v>69</x:v>
      </x:c>
      <x:c r="H51" t="s">
        <x:v>70</x:v>
      </x:c>
      <x:c r="I51" t="s">
        <x:v>71</x:v>
      </x:c>
      <x:c r="J51" t="s">
        <x:v>72</x:v>
      </x:c>
      <x:c r="K51" t="s">
        <x:v>73</x:v>
      </x:c>
      <x:c r="L51" t="s">
        <x:v>74</x:v>
      </x:c>
      <x:c r="M51" t="s">
        <x:v>75</x:v>
      </x:c>
      <x:c r="N51" t="s">
        <x:v>63</x:v>
      </x:c>
      <x:c r="O51" t="s">
        <x:v>21</x:v>
      </x:c>
      <x:c r="P51" t="s">
        <x:v>35</x:v>
      </x:c>
      <x:c r="Q51" t="s">
        <x:v>77</x:v>
      </x:c>
      <x:c r="R51" t="s">
        <x:v>49</x:v>
      </x:c>
      <x:c r="S51" t="s">
        <x:v>20</x:v>
      </x:c>
      <x:c r="T51"/>
      <x:c r="U51"/>
      <x:c r="V51"/>
      <x:c r="W51"/>
    </x:row>
    <x:row r="52">
      <x:c r="A52" t="str">
        <x:v>销售员003</x:v>
      </x:c>
      <x:c r="B52"/>
      <x:c r="C52"/>
      <x:c r="D52"/>
      <x:c r="E52"/>
      <x:c r="F52"/>
      <x:c r="G52">
        <x:v>6664</x:v>
      </x:c>
      <x:c r="H52"/>
      <x:c r="I52"/>
      <x:c r="J52"/>
      <x:c r="K52"/>
      <x:c r="L52"/>
      <x:c r="M52"/>
      <x:c r="N52" t="n">
        <x:f>SUM(B52:G52)</x:f>
        <x:v>0</x:v>
      </x:c>
      <x:c r="O52">
        <x:v>4675</x:v>
      </x:c>
      <x:c r="P52" t="e">
        <x:f>O52/N52</x:f>
        <x:v>#DIV/0!</x:v>
      </x:c>
      <x:c r="Q52" t="n">
        <x:f>O52-N52</x:f>
        <x:v>4675</x:v>
      </x:c>
      <x:c r="R52">
        <x:v>3469</x:v>
      </x:c>
      <x:c r="S52" t="n">
        <x:f>(O52-R52)/R52*1</x:f>
        <x:v>0.3476506197751513</x:v>
      </x:c>
      <x:c r="T52">
        <x:v>1747.5</x:v>
      </x:c>
      <x:c r="U52"/>
      <x:c r="V52">
        <x:v>2138.5</x:v>
      </x:c>
      <x:c r="W52">
        <x:v>1784</x:v>
      </x:c>
    </x:row>
    <x:row r="53">
      <x:c r="A53" t="str">
        <x:v>销售员004</x:v>
      </x:c>
      <x:c r="B53"/>
      <x:c r="C53"/>
      <x:c r="D53"/>
      <x:c r="E53"/>
      <x:c r="F53"/>
      <x:c r="G53">
        <x:v>5424.5</x:v>
      </x:c>
      <x:c r="H53"/>
      <x:c r="I53"/>
      <x:c r="J53"/>
      <x:c r="K53"/>
      <x:c r="L53"/>
      <x:c r="M53"/>
      <x:c r="N53" t="n">
        <x:f>SUM(B53:G53)</x:f>
        <x:v>0</x:v>
      </x:c>
      <x:c r="O53">
        <x:v>3814.5</x:v>
      </x:c>
      <x:c r="P53" t="e">
        <x:f>O53/N53</x:f>
        <x:v>#DIV/0!</x:v>
      </x:c>
      <x:c r="Q53" t="n">
        <x:f>O53-N53</x:f>
        <x:v>3814.5</x:v>
      </x:c>
      <x:c r="R53">
        <x:v>5818.79</x:v>
      </x:c>
      <x:c r="S53" t="n">
        <x:f>(O53-R53)/R53*1</x:f>
        <x:v>-0.3444513378210934</x:v>
      </x:c>
      <x:c r="T53">
        <x:v>0.47</x:v>
      </x:c>
      <x:c r="U53" t="n">
        <x:f>T53*T52</x:f>
        <x:v>821.3249999999999</x:v>
      </x:c>
      <x:c r="V53">
        <x:v>1892.5</x:v>
      </x:c>
      <x:c r="W53" t="n">
        <x:f>U53+V53</x:f>
        <x:v>2713.825</x:v>
      </x:c>
    </x:row>
    <x:row r="54">
      <x:c r="A54" t="str">
        <x:v>销售员002</x:v>
      </x:c>
      <x:c r="B54"/>
      <x:c r="C54"/>
      <x:c r="D54"/>
      <x:c r="E54"/>
      <x:c r="F54"/>
      <x:c r="G54">
        <x:v>4464</x:v>
      </x:c>
      <x:c r="H54"/>
      <x:c r="I54"/>
      <x:c r="J54"/>
      <x:c r="K54"/>
      <x:c r="L54"/>
      <x:c r="M54"/>
      <x:c r="N54" t="n">
        <x:f>SUM(B54:G54)</x:f>
        <x:v>0</x:v>
      </x:c>
      <x:c r="O54">
        <x:v>3494</x:v>
      </x:c>
      <x:c r="P54" t="e">
        <x:f>O54/N54</x:f>
        <x:v>#DIV/0!</x:v>
      </x:c>
      <x:c r="Q54" t="n">
        <x:f>O54-N54</x:f>
        <x:v>3494</x:v>
      </x:c>
      <x:c r="R54">
        <x:v>6339.71</x:v>
      </x:c>
      <x:c r="S54" t="n">
        <x:f>(O54-R54)/R54*1</x:f>
        <x:v>-0.44887068966877036</x:v>
      </x:c>
      <x:c r="T54">
        <x:v>0.53</x:v>
      </x:c>
      <x:c r="U54" t="n">
        <x:f>T54*T52</x:f>
        <x:v>926.1750000000001</x:v>
      </x:c>
      <x:c r="V54">
        <x:v>1747.5</x:v>
      </x:c>
      <x:c r="W54" t="n">
        <x:f>V54+U54</x:f>
        <x:v>2673.675</x:v>
      </x:c>
    </x:row>
    <x:row r="55">
      <x:c r="A55" t="str">
        <x:v>销售员001</x:v>
      </x:c>
      <x:c r="B55"/>
      <x:c r="C55"/>
      <x:c r="D55"/>
      <x:c r="E55"/>
      <x:c r="F55"/>
      <x:c r="G55">
        <x:v>4474.5</x:v>
      </x:c>
      <x:c r="H55"/>
      <x:c r="I55"/>
      <x:c r="J55"/>
      <x:c r="K55"/>
      <x:c r="L55"/>
      <x:c r="M55"/>
      <x:c r="N55" t="n">
        <x:f>SUM(B55:G55)</x:f>
        <x:v>0</x:v>
      </x:c>
      <x:c r="O55">
        <x:v>3460.5</x:v>
      </x:c>
      <x:c r="P55" t="e">
        <x:f>O55/N55</x:f>
        <x:v>#DIV/0!</x:v>
      </x:c>
      <x:c r="Q55" t="n">
        <x:f>O55-N55</x:f>
        <x:v>3460.5</x:v>
      </x:c>
      <x:c r="R55">
        <x:v>3048</x:v>
      </x:c>
      <x:c r="S55" t="n">
        <x:f>(O55-R55)/R55*1</x:f>
        <x:v>0.13533464566929135</x:v>
      </x:c>
      <x:c r="T55"/>
      <x:c r="U55"/>
      <x:c r="V55">
        <x:v>1780</x:v>
      </x:c>
      <x:c r="W55">
        <x:v>1780</x:v>
      </x:c>
    </x:row>
    <x:row r="56">
      <x:c r="A56" t="str">
        <x:v>销售员006</x:v>
      </x:c>
      <x:c r="B56"/>
      <x:c r="C56"/>
      <x:c r="D56"/>
      <x:c r="E56"/>
      <x:c r="F56"/>
      <x:c r="G56">
        <x:v>20280</x:v>
      </x:c>
      <x:c r="H56"/>
      <x:c r="I56"/>
      <x:c r="J56"/>
      <x:c r="K56"/>
      <x:c r="L56"/>
      <x:c r="M56"/>
      <x:c r="N56" t="n">
        <x:f>SUM(B56:G56)</x:f>
        <x:v>0</x:v>
      </x:c>
      <x:c r="O56">
        <x:v>16184.16667</x:v>
      </x:c>
      <x:c r="P56" t="e">
        <x:f>O56/N56</x:f>
        <x:v>#DIV/0!</x:v>
      </x:c>
      <x:c r="Q56" t="n">
        <x:f>O56-N56</x:f>
        <x:v>16184.16667</x:v>
      </x:c>
      <x:c r="R56">
        <x:v>16280.9</x:v>
      </x:c>
      <x:c r="S56" t="n">
        <x:f>(O56-R56)/R56*1</x:f>
        <x:v>-0.005941522274567077</x:v>
      </x:c>
      <x:c r="T56"/>
      <x:c r="U56"/>
      <x:c r="V56">
        <x:v>8602</x:v>
      </x:c>
      <x:c r="W56">
        <x:v>8602</x:v>
      </x:c>
    </x:row>
    <x:row r="57">
      <x:c r="A57" t="str">
        <x:v>销售员005</x:v>
      </x:c>
      <x:c r="B57"/>
      <x:c r="C57"/>
      <x:c r="D57"/>
      <x:c r="E57"/>
      <x:c r="F57"/>
      <x:c r="G57">
        <x:v>27086</x:v>
      </x:c>
      <x:c r="H57"/>
      <x:c r="I57"/>
      <x:c r="J57"/>
      <x:c r="K57"/>
      <x:c r="L57"/>
      <x:c r="M57"/>
      <x:c r="N57" t="n">
        <x:f>SUM(B57:G57)</x:f>
        <x:v>0</x:v>
      </x:c>
      <x:c r="O57">
        <x:v>20033</x:v>
      </x:c>
      <x:c r="P57" t="e">
        <x:f>O57/N57</x:f>
        <x:v>#DIV/0!</x:v>
      </x:c>
      <x:c r="Q57" t="n">
        <x:f>O57-N57</x:f>
        <x:v>20033</x:v>
      </x:c>
      <x:c r="R57">
        <x:v>19188.7</x:v>
      </x:c>
      <x:c r="S57" t="n">
        <x:f>(O57-R57)/R57*1</x:f>
        <x:v>0.04399985408078709</x:v>
      </x:c>
      <x:c r="T57"/>
      <x:c r="U57"/>
      <x:c r="V57">
        <x:v>9323.8</x:v>
      </x:c>
      <x:c r="W57">
        <x:v>9323.8</x:v>
      </x:c>
    </x:row>
    <x:row r="58">
      <x:c r="A58" t="str">
        <x:v>销售员007</x:v>
      </x:c>
      <x:c r="B58"/>
      <x:c r="C58"/>
      <x:c r="D58"/>
      <x:c r="E58"/>
      <x:c r="F58"/>
      <x:c r="G58" t="n">
        <x:f>SUM(G52:G57)</x:f>
        <x:v>0</x:v>
      </x:c>
      <x:c r="H58"/>
      <x:c r="I58"/>
      <x:c r="J58"/>
      <x:c r="K58"/>
      <x:c r="L58"/>
      <x:c r="M58"/>
      <x:c r="N58" t="n">
        <x:f>SUM(B58:G58)</x:f>
        <x:v>0</x:v>
      </x:c>
      <x:c r="O58" t="n">
        <x:f>SUM(O52:O57)</x:f>
        <x:v>0</x:v>
      </x:c>
      <x:c r="P58" t="e">
        <x:f>O58/N58</x:f>
        <x:v>#DIV/0!</x:v>
      </x:c>
      <x:c r="Q58" t="n">
        <x:f>O58-N58</x:f>
        <x:v>0</x:v>
      </x:c>
      <x:c r="R58" t="n">
        <x:f>SUM(R52:R57)</x:f>
        <x:v>0</x:v>
      </x:c>
      <x:c r="S58" t="e">
        <x:f>(O58-R58)/R58*1</x:f>
        <x:v>#DIV/0!</x:v>
      </x:c>
      <x:c r="T58"/>
      <x:c r="U58"/>
      <x:c r="V58">
        <x:v>25484.3</x:v>
      </x:c>
      <x:c r="W58" t="n">
        <x:f>SUM(W52:W57)</x:f>
        <x:v>5387.5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0.380000114440918" hidden="0" customWidth="1"/>
    <x:col min="3" max="3" width="7.880000114440918" hidden="0" customWidth="1"/>
    <x:col min="4" max="4" width="7.880000114440918" hidden="0" customWidth="1"/>
    <x:col min="5" max="5" width="7.5" hidden="0" customWidth="1"/>
    <x:col min="6" max="6" width="8.130000114440918" hidden="0" customWidth="1"/>
  </x:cols>
  <x:sheetData>
    <x:row r="1">
      <x:c r="A1" t="str">
        <x:v>业务员</x:v>
      </x:c>
      <x:c r="B1" t="str">
        <x:v>任务量</x:v>
      </x:c>
      <x:c r="C1" t="str">
        <x:v>本期出货</x:v>
      </x:c>
      <x:c r="D1" t="str">
        <x:v>上年同期</x:v>
      </x:c>
      <x:c r="E1" t="str">
        <x:v>完成率</x:v>
      </x:c>
      <x:c r="F1" t="str">
        <x:v>同比</x:v>
      </x:c>
    </x:row>
    <x:row r="2">
      <x:c r="A2" t="str">
        <x:v>销售员003</x:v>
      </x:c>
      <x:c r="B2" t="n">
        <x:v>7587.714607</x:v>
      </x:c>
      <x:c r="C2" t="n">
        <x:v>7624</x:v>
      </x:c>
      <x:c r="D2" t="n">
        <x:v>8251</x:v>
      </x:c>
      <x:c r="E2" t="n">
        <x:v>1.004782</x:v>
      </x:c>
      <x:c r="F2" t="n">
        <x:v>-0.075991</x:v>
      </x:c>
    </x:row>
    <x:row r="3">
      <x:c r="A3" t="str">
        <x:v>销售员004</x:v>
      </x:c>
      <x:c r="B3" t="n">
        <x:v>9239.388012</x:v>
      </x:c>
      <x:c r="C3" t="n">
        <x:v>6556</x:v>
      </x:c>
      <x:c r="D3" t="n">
        <x:v>6823.5</x:v>
      </x:c>
      <x:c r="E3" t="n">
        <x:v>0.709571</x:v>
      </x:c>
      <x:c r="F3" t="n">
        <x:v>-0.039203</x:v>
      </x:c>
    </x:row>
    <x:row r="4">
      <x:c r="A4" t="str">
        <x:v>销售员002</x:v>
      </x:c>
      <x:c r="B4" t="n">
        <x:v>7779.308583</x:v>
      </x:c>
      <x:c r="C4" t="n">
        <x:v>6676.5</x:v>
      </x:c>
      <x:c r="D4" t="n">
        <x:v>5776</x:v>
      </x:c>
      <x:c r="E4" t="n">
        <x:v>0.858238</x:v>
      </x:c>
      <x:c r="F4" t="n">
        <x:v>0.155904</x:v>
      </x:c>
    </x:row>
    <x:row r="5">
      <x:c r="A5" t="str">
        <x:v>销售员001</x:v>
      </x:c>
      <x:c r="B5" t="n">
        <x:v>8329.920416</x:v>
      </x:c>
      <x:c r="C5" t="n">
        <x:v>8850.5</x:v>
      </x:c>
      <x:c r="D5" t="n">
        <x:v>7142</x:v>
      </x:c>
      <x:c r="E5" t="n">
        <x:v>1.062495</x:v>
      </x:c>
      <x:c r="F5" t="n">
        <x:v>0.239219</x:v>
      </x:c>
    </x:row>
    <x:row r="6">
      <x:c r="A6" t="str">
        <x:v>销售员006</x:v>
      </x:c>
      <x:c r="B6" t="n">
        <x:v>16293.168288</x:v>
      </x:c>
      <x:c r="C6" t="n">
        <x:v>13438.2</x:v>
      </x:c>
      <x:c r="D6" t="n">
        <x:v>11588.8</x:v>
      </x:c>
      <x:c r="E6" t="n">
        <x:v>0.824775</x:v>
      </x:c>
      <x:c r="F6" t="n">
        <x:v>0.159585</x:v>
      </x:c>
    </x:row>
    <x:row r="7">
      <x:c r="A7" t="str">
        <x:v>销售员005</x:v>
      </x:c>
      <x:c r="B7" t="n">
        <x:v>13395.867722</x:v>
      </x:c>
      <x:c r="C7" t="n">
        <x:v>16700.8</x:v>
      </x:c>
      <x:c r="D7" t="n">
        <x:v>12610.5</x:v>
      </x:c>
      <x:c r="E7" t="n">
        <x:v>1.246713</x:v>
      </x:c>
      <x:c r="F7" t="n">
        <x:v>0.324357</x:v>
      </x:c>
    </x:row>
    <x:row r="8">
      <x:c r="A8" t="str">
        <x:v>销售员007</x:v>
      </x:c>
      <x:c r="B8" t="n">
        <x:v>62625.367627</x:v>
      </x:c>
      <x:c r="C8" t="n">
        <x:v>59846</x:v>
      </x:c>
      <x:c r="D8" t="n">
        <x:v>52191.8</x:v>
      </x:c>
      <x:c r="E8" t="n">
        <x:v>0.955619</x:v>
      </x:c>
      <x:c r="F8" t="n">
        <x:v>0.146655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4.25" hidden="0" customWidth="1"/>
    <x:col min="3" max="3" width="3.380000114440918" hidden="0" customWidth="1"/>
    <x:col min="4" max="4" width="3.380000114440918" hidden="0" customWidth="1"/>
    <x:col min="5" max="5" width="3.380000114440918" hidden="0" customWidth="1"/>
    <x:col min="6" max="6" width="8.5" hidden="0" customWidth="1"/>
    <x:col min="7" max="7" width="8.5" hidden="0" customWidth="1"/>
    <x:col min="8" max="8" width="7.880000114440918" hidden="0" customWidth="1"/>
    <x:col min="9" max="9" width="7.880000114440918" hidden="0" customWidth="1"/>
    <x:col min="10" max="10" width="5.630000114440918" hidden="0" customWidth="1"/>
    <x:col min="11" max="11" width="6.25" hidden="0" customWidth="1"/>
    <x:col min="12" max="12" width="10.880000114440918" hidden="0" customWidth="1"/>
    <x:col min="13" max="13" width="6.25" hidden="0" customWidth="1"/>
    <x:col min="14" max="14" width="4.25" hidden="0" customWidth="1"/>
    <x:col min="15" max="15" width="5.630000114440918" hidden="0" customWidth="1"/>
    <x:col min="16" max="16" width="5.630000114440918" hidden="0" customWidth="1"/>
    <x:col min="17" max="17" width="5.25" hidden="0" customWidth="1"/>
    <x:col min="18" max="18" width="4.75" hidden="0" customWidth="1"/>
    <x:col min="19" max="19" width="4.75" hidden="0" customWidth="1"/>
    <x:col min="21" max="21" width="4.75" hidden="0" customWidth="1"/>
    <x:col min="22" max="22" width="4.75" hidden="0" customWidth="1"/>
  </x:cols>
  <x:sheetData>
    <x:row r="1">
      <x:c r="A1" t="s">
        <x:v>3</x:v>
      </x:c>
      <x:c r="B1" t="s">
        <x:v>81</x:v>
      </x:c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</x:row>
    <x:row r="2">
      <x:c r="A2"/>
      <x:c r="B2" t="s">
        <x:v>64</x:v>
      </x:c>
      <x:c r="C2" t="s">
        <x:v>65</x:v>
      </x:c>
      <x:c r="D2" t="s">
        <x:v>66</x:v>
      </x:c>
      <x:c r="E2" t="s">
        <x:v>67</x:v>
      </x:c>
      <x:c r="F2" t="s">
        <x:v>68</x:v>
      </x:c>
      <x:c r="G2" t="s">
        <x:v>69</x:v>
      </x:c>
      <x:c r="H2" t="s">
        <x:v>82</x:v>
      </x:c>
      <x:c r="I2" t="s">
        <x:v>83</x:v>
      </x:c>
      <x:c r="J2" t="s">
        <x:v>84</x:v>
      </x:c>
      <x:c r="K2" t="s">
        <x:v>35</x:v>
      </x:c>
      <x:c r="L2" t="s">
        <x:v>20</x:v>
      </x:c>
      <x:c r="M2" t="s">
        <x:v>85</x:v>
      </x:c>
      <x:c r="N2" t="s">
        <x:v>21</x:v>
      </x:c>
      <x:c r="O2"/>
      <x:c r="P2"/>
      <x:c r="Q2">
        <x:v>45809</x:v>
      </x:c>
      <x:c r="R2"/>
      <x:c r="S2"/>
      <x:c r="T2"/>
      <x:c r="U2"/>
      <x:c r="V2"/>
    </x:row>
    <x:row r="3">
      <x:c r="A3" t="str">
        <x:v>销售员003</x:v>
      </x:c>
      <x:c r="B3">
        <x:v>16</x:v>
      </x:c>
      <x:c r="C3">
        <x:v>6</x:v>
      </x:c>
      <x:c r="D3">
        <x:v>20</x:v>
      </x:c>
      <x:c r="E3">
        <x:v>22</x:v>
      </x:c>
      <x:c r="F3">
        <x:v>20</x:v>
      </x:c>
      <x:c r="G3">
        <x:v>18.50602</x:v>
      </x:c>
      <x:c r="H3" t="n">
        <x:f>SUM(B3:G3)</x:f>
        <x:v>0</x:v>
      </x:c>
      <x:c r="I3">
        <x:v>104</x:v>
      </x:c>
      <x:c r="J3">
        <x:v>103</x:v>
      </x:c>
      <x:c r="K3" t="e">
        <x:f>I3/H3</x:f>
        <x:v>#DIV/0!</x:v>
      </x:c>
      <x:c r="L3" t="n">
        <x:f>(I3-J3)/J3*1</x:f>
        <x:v>0.009708737864077669</x:v>
      </x:c>
      <x:c r="M3" t="n">
        <x:f>H3-J3</x:f>
        <x:v>-103</x:v>
      </x:c>
      <x:c r="N3">
        <x:v>104</x:v>
      </x:c>
      <x:c r="O3" t="n">
        <x:f>P3+Q3</x:f>
        <x:v>103</x:v>
      </x:c>
      <x:c r="P3">
        <x:v>92</x:v>
      </x:c>
      <x:c r="Q3">
        <x:v>11</x:v>
      </x:c>
      <x:c r="R3" t="str">
        <x:f>S7</x:f>
        <x:v>11</x:v>
      </x:c>
      <x:c r="S3">
        <x:v>31</x:v>
      </x:c>
      <x:c r="T3"/>
      <x:c r="U3"/>
      <x:c r="V3"/>
    </x:row>
    <x:row r="4">
      <x:c r="A4" t="str">
        <x:v>销售员004</x:v>
      </x:c>
      <x:c r="B4">
        <x:v>14</x:v>
      </x:c>
      <x:c r="C4">
        <x:v>7</x:v>
      </x:c>
      <x:c r="D4">
        <x:v>10</x:v>
      </x:c>
      <x:c r="E4">
        <x:v>15</x:v>
      </x:c>
      <x:c r="F4">
        <x:v>24</x:v>
      </x:c>
      <x:c r="G4">
        <x:v>37.01204</x:v>
      </x:c>
      <x:c r="H4" t="n">
        <x:f>SUM(B4:G4)</x:f>
        <x:v>0</x:v>
      </x:c>
      <x:c r="I4">
        <x:v>86</x:v>
      </x:c>
      <x:c r="J4">
        <x:v>138.98</x:v>
      </x:c>
      <x:c r="K4" t="e">
        <x:f>I4/H4</x:f>
        <x:v>#DIV/0!</x:v>
      </x:c>
      <x:c r="L4" t="n">
        <x:f>(I4-J4)/J4*1</x:f>
        <x:v>-0.3812059289106346</x:v>
      </x:c>
      <x:c r="M4" t="n">
        <x:f>H4-J4</x:f>
        <x:v>-138.98</x:v>
      </x:c>
      <x:c r="N4">
        <x:v>86</x:v>
      </x:c>
      <x:c r="O4" t="n">
        <x:f>P4+Q4</x:f>
        <x:v>138.98000000000002</x:v>
      </x:c>
      <x:c r="P4">
        <x:v>65</x:v>
      </x:c>
      <x:c r="Q4">
        <x:v>73.98</x:v>
      </x:c>
      <x:c r="R4" t="n">
        <x:f>V4</x:f>
        <x:v>15.979999999999999</x:v>
      </x:c>
      <x:c r="S4">
        <x:v>58</x:v>
      </x:c>
      <x:c r="T4"/>
      <x:c r="U4" t="n">
        <x:f>S5*0.47</x:f>
        <x:v>15.979999999999999</x:v>
      </x:c>
      <x:c r="V4" t="n">
        <x:f>SUM(S4:U4)</x:f>
        <x:v>15.979999999999999</x:v>
      </x:c>
    </x:row>
    <x:row r="5">
      <x:c r="A5" t="str">
        <x:v>销售员002</x:v>
      </x:c>
      <x:c r="B5">
        <x:v>16</x:v>
      </x:c>
      <x:c r="C5">
        <x:v>7</x:v>
      </x:c>
      <x:c r="D5">
        <x:v>12</x:v>
      </x:c>
      <x:c r="E5">
        <x:v>18</x:v>
      </x:c>
      <x:c r="F5">
        <x:v>14</x:v>
      </x:c>
      <x:c r="G5">
        <x:v>37.01204</x:v>
      </x:c>
      <x:c r="H5" t="n">
        <x:f>SUM(B5:G5)</x:f>
        <x:v>0</x:v>
      </x:c>
      <x:c r="I5">
        <x:v>77</x:v>
      </x:c>
      <x:c r="J5">
        <x:v>107.02</x:v>
      </x:c>
      <x:c r="K5" t="e">
        <x:f>I5/H5</x:f>
        <x:v>#DIV/0!</x:v>
      </x:c>
      <x:c r="L5" t="n">
        <x:f>(I5-J5)/J5*1</x:f>
        <x:v>-0.28050831620257893</x:v>
      </x:c>
      <x:c r="M5" t="n">
        <x:f>H5-J5</x:f>
        <x:v>-107.02</x:v>
      </x:c>
      <x:c r="N5">
        <x:v>77</x:v>
      </x:c>
      <x:c r="O5" t="n">
        <x:f>P5+Q5</x:f>
        <x:v>107.02000000000001</x:v>
      </x:c>
      <x:c r="P5">
        <x:v>55</x:v>
      </x:c>
      <x:c r="Q5">
        <x:v>52.02</x:v>
      </x:c>
      <x:c r="R5" t="n">
        <x:f>V5</x:f>
        <x:v>18.02</x:v>
      </x:c>
      <x:c r="S5">
        <x:v>34</x:v>
      </x:c>
      <x:c r="T5"/>
      <x:c r="U5" t="n">
        <x:f>S5*0.53</x:f>
        <x:v>18.02</x:v>
      </x:c>
      <x:c r="V5" t="n">
        <x:f>SUM(S5:U5)</x:f>
        <x:v>18.02</x:v>
      </x:c>
    </x:row>
    <x:row r="6">
      <x:c r="A6" t="str">
        <x:v>销售员001</x:v>
      </x:c>
      <x:c r="B6">
        <x:v>15</x:v>
      </x:c>
      <x:c r="C6">
        <x:v>20</x:v>
      </x:c>
      <x:c r="D6">
        <x:v>21</x:v>
      </x:c>
      <x:c r="E6">
        <x:v>42</x:v>
      </x:c>
      <x:c r="F6">
        <x:v>55</x:v>
      </x:c>
      <x:c r="G6">
        <x:v>18.50602</x:v>
      </x:c>
      <x:c r="H6" t="n">
        <x:f>SUM(B6:G6)</x:f>
        <x:v>0</x:v>
      </x:c>
      <x:c r="I6">
        <x:v>197</x:v>
      </x:c>
      <x:c r="J6">
        <x:v>27</x:v>
      </x:c>
      <x:c r="K6" t="e">
        <x:f>I6/H6</x:f>
        <x:v>#DIV/0!</x:v>
      </x:c>
      <x:c r="L6" t="n">
        <x:f>(I6-J6)/J6*1</x:f>
        <x:v>6.296296296296297</x:v>
      </x:c>
      <x:c r="M6" t="n">
        <x:f>H6-J6</x:f>
        <x:v>-27</x:v>
      </x:c>
      <x:c r="N6">
        <x:v>197</x:v>
      </x:c>
      <x:c r="O6" t="n">
        <x:f>P6+Q6</x:f>
        <x:v>27</x:v>
      </x:c>
      <x:c r="P6">
        <x:v>16</x:v>
      </x:c>
      <x:c r="Q6">
        <x:v>11</x:v>
      </x:c>
      <x:c r="R6" t="str">
        <x:f>S7</x:f>
        <x:v>11</x:v>
      </x:c>
      <x:c r="S6">
        <x:v>30</x:v>
      </x:c>
      <x:c r="T6"/>
      <x:c r="U6"/>
      <x:c r="V6"/>
    </x:row>
    <x:row r="7">
      <x:c r="A7" t="str">
        <x:v>销售员006</x:v>
      </x:c>
      <x:c r="B7">
        <x:v>340</x:v>
      </x:c>
      <x:c r="C7">
        <x:v>143</x:v>
      </x:c>
      <x:c r="D7">
        <x:v>304</x:v>
      </x:c>
      <x:c r="E7">
        <x:v>500</x:v>
      </x:c>
      <x:c r="F7">
        <x:v>500</x:v>
      </x:c>
      <x:c r="G7">
        <x:v>444.14448</x:v>
      </x:c>
      <x:c r="H7" t="n">
        <x:f>SUM(B7:G7)</x:f>
        <x:v>0</x:v>
      </x:c>
      <x:c r="I7">
        <x:v>2096</x:v>
      </x:c>
      <x:c r="J7">
        <x:v>1316.4</x:v>
      </x:c>
      <x:c r="K7" t="e">
        <x:f>I7/H7</x:f>
        <x:v>#DIV/0!</x:v>
      </x:c>
      <x:c r="L7" t="n">
        <x:f>(I7-J7)/J7*1</x:f>
        <x:v>0.5922212093588574</x:v>
      </x:c>
      <x:c r="M7" t="n">
        <x:f>H7-J7</x:f>
        <x:v>-1316.4</x:v>
      </x:c>
      <x:c r="N7">
        <x:v>2096</x:v>
      </x:c>
      <x:c r="O7" t="n">
        <x:f>P7+Q7</x:f>
        <x:v>1316.4</x:v>
      </x:c>
      <x:c r="P7">
        <x:v>888.7</x:v>
      </x:c>
      <x:c r="Q7">
        <x:v>427.7</x:v>
      </x:c>
      <x:c r="R7" t="str">
        <x:f>S8</x:f>
        <x:v>427.7</x:v>
      </x:c>
      <x:c r="S7">
        <x:v>11</x:v>
      </x:c>
      <x:c r="T7"/>
      <x:c r="U7"/>
      <x:c r="V7"/>
    </x:row>
    <x:row r="8">
      <x:c r="A8" t="str">
        <x:v>销售员005</x:v>
      </x:c>
      <x:c r="B8">
        <x:v>365</x:v>
      </x:c>
      <x:c r="C8">
        <x:v>215</x:v>
      </x:c>
      <x:c r="D8">
        <x:v>462</x:v>
      </x:c>
      <x:c r="E8">
        <x:v>479</x:v>
      </x:c>
      <x:c r="F8">
        <x:v>589.66667</x:v>
      </x:c>
      <x:c r="G8">
        <x:v>518.16856</x:v>
      </x:c>
      <x:c r="H8" t="n">
        <x:f>SUM(B8:G8)</x:f>
        <x:v>0</x:v>
      </x:c>
      <x:c r="I8">
        <x:v>2734</x:v>
      </x:c>
      <x:c r="J8">
        <x:v>1547.8</x:v>
      </x:c>
      <x:c r="K8" t="e">
        <x:f>I8/H8</x:f>
        <x:v>#DIV/0!</x:v>
      </x:c>
      <x:c r="L8" t="n">
        <x:f>(I8-J8)/J8*1</x:f>
        <x:v>0.7663780850239049</x:v>
      </x:c>
      <x:c r="M8" t="n">
        <x:f>H8-J8</x:f>
        <x:v>-1547.8</x:v>
      </x:c>
      <x:c r="N8">
        <x:v>2734</x:v>
      </x:c>
      <x:c r="O8" t="n">
        <x:f>P8+Q8</x:f>
        <x:v>1547.8</x:v>
      </x:c>
      <x:c r="P8">
        <x:v>1034.8</x:v>
      </x:c>
      <x:c r="Q8">
        <x:v>513</x:v>
      </x:c>
      <x:c r="R8" t="str">
        <x:f>S9</x:f>
        <x:v>513</x:v>
      </x:c>
      <x:c r="S8">
        <x:v>427.7</x:v>
      </x:c>
      <x:c r="T8"/>
      <x:c r="U8"/>
      <x:c r="V8"/>
    </x:row>
    <x:row r="9">
      <x:c r="A9" t="s">
        <x:v>57</x:v>
      </x:c>
      <x:c r="B9" t="n">
        <x:f>SUM(B3:B8)</x:f>
        <x:v>0</x:v>
      </x:c>
      <x:c r="C9" t="n">
        <x:f>SUM(C3:C8)</x:f>
        <x:v>0</x:v>
      </x:c>
      <x:c r="D9" t="n">
        <x:f>SUM(D3:D8)</x:f>
        <x:v>0</x:v>
      </x:c>
      <x:c r="E9" t="n">
        <x:f>SUM(E3:E8)</x:f>
        <x:v>0</x:v>
      </x:c>
      <x:c r="F9" t="n">
        <x:f>SUM(F3:F8)</x:f>
        <x:v>0</x:v>
      </x:c>
      <x:c r="G9" t="n">
        <x:f>SUM(G3:G8)</x:f>
        <x:v>0</x:v>
      </x:c>
      <x:c r="H9" t="n">
        <x:f>SUM(H3:H8)</x:f>
        <x:v>0</x:v>
      </x:c>
      <x:c r="I9" t="n">
        <x:f>SUM(I3:I8)</x:f>
        <x:v>0</x:v>
      </x:c>
      <x:c r="J9" t="n">
        <x:f>SUM(J3:J8)</x:f>
        <x:v>0</x:v>
      </x:c>
      <x:c r="K9" t="e">
        <x:f>I9/H9</x:f>
        <x:v>#DIV/0!</x:v>
      </x:c>
      <x:c r="L9" t="e">
        <x:f>(I9-J9)/J9*1</x:f>
        <x:v>#DIV/0!</x:v>
      </x:c>
      <x:c r="M9" t="n">
        <x:f>H9-J9</x:f>
        <x:v>0</x:v>
      </x:c>
      <x:c r="N9"/>
      <x:c r="O9"/>
      <x:c r="P9"/>
      <x:c r="Q9" t="n">
        <x:f>SUM(Q3:Q8)</x:f>
        <x:v>0</x:v>
      </x:c>
      <x:c r="R9"/>
      <x:c r="S9">
        <x:v>513</x:v>
      </x:c>
      <x:c r="T9"/>
      <x:c r="U9"/>
      <x:c r="V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6.630000114440918" hidden="0" customWidth="1"/>
    <x:col min="3" max="3" width="6.630000114440918" hidden="0" customWidth="1"/>
    <x:col min="4" max="4" width="10.880000114440918" hidden="0" customWidth="1"/>
    <x:col min="5" max="5" width="7.130000114440918" hidden="0" customWidth="1"/>
    <x:col min="6" max="6" width="10.380000114440918" hidden="0" customWidth="1"/>
    <x:col min="7" max="7" width="8.5" hidden="0" customWidth="1"/>
    <x:col min="8" max="8" width="10.380000114440918" hidden="0" customWidth="1"/>
    <x:col min="9" max="9" width="10.380000114440918" hidden="0" customWidth="1"/>
    <x:col min="10" max="10" width="10.380000114440918" hidden="0" customWidth="1"/>
    <x:col min="11" max="11" width="8.5" hidden="0" customWidth="1"/>
    <x:col min="12" max="12" width="10.880000114440918" hidden="0" customWidth="1"/>
    <x:col min="13" max="13" width="10" hidden="0" customWidth="1"/>
    <x:col min="14" max="14" width="10.380000114440918" hidden="0" customWidth="1"/>
    <x:col min="15" max="15" width="8.5" hidden="0" customWidth="1"/>
    <x:col min="16" max="16" width="10.380000114440918" hidden="0" customWidth="1"/>
    <x:col min="17" max="17" width="9.380000114440918" hidden="0" customWidth="1"/>
  </x:cols>
  <x:sheetData>
    <x:row r="1">
      <x:c r="A1" t="s">
        <x:v>3</x:v>
      </x:c>
      <x:c r="B1" t="s">
        <x:v>86</x:v>
      </x:c>
      <x:c r="C1"/>
      <x:c r="D1"/>
      <x:c r="E1"/>
      <x:c r="F1" t="s">
        <x:v>52</x:v>
      </x:c>
      <x:c r="G1"/>
      <x:c r="H1"/>
      <x:c r="I1"/>
      <x:c r="J1" t="s">
        <x:v>51</x:v>
      </x:c>
      <x:c r="K1"/>
      <x:c r="L1"/>
      <x:c r="M1"/>
      <x:c r="N1" t="s">
        <x:v>53</x:v>
      </x:c>
      <x:c r="O1"/>
      <x:c r="P1"/>
      <x:c r="Q1"/>
    </x:row>
    <x:row r="2">
      <x:c r="A2"/>
      <x:c r="B2" t="s">
        <x:v>87</x:v>
      </x:c>
      <x:c r="C2" t="s">
        <x:v>84</x:v>
      </x:c>
      <x:c r="D2" t="s">
        <x:v>20</x:v>
      </x:c>
      <x:c r="E2" t="s">
        <x:v>85</x:v>
      </x:c>
      <x:c r="F2" t="s">
        <x:v>87</x:v>
      </x:c>
      <x:c r="G2" t="s">
        <x:v>84</x:v>
      </x:c>
      <x:c r="H2" t="s">
        <x:v>20</x:v>
      </x:c>
      <x:c r="I2" t="s">
        <x:v>85</x:v>
      </x:c>
      <x:c r="J2" t="s">
        <x:v>87</x:v>
      </x:c>
      <x:c r="K2" t="s">
        <x:v>84</x:v>
      </x:c>
      <x:c r="L2" t="s">
        <x:v>20</x:v>
      </x:c>
      <x:c r="M2" t="s">
        <x:v>85</x:v>
      </x:c>
      <x:c r="N2" t="s">
        <x:v>87</x:v>
      </x:c>
      <x:c r="O2" t="s">
        <x:v>84</x:v>
      </x:c>
      <x:c r="P2" t="s">
        <x:v>20</x:v>
      </x:c>
      <x:c r="Q2" t="s">
        <x:v>85</x:v>
      </x:c>
    </x:row>
    <x:row r="3">
      <x:c r="A3" t="str">
        <x:v>销售员003</x:v>
      </x:c>
      <x:c r="B3">
        <x:v>4391</x:v>
      </x:c>
      <x:c r="C3">
        <x:v>3287</x:v>
      </x:c>
      <x:c r="D3" t="n">
        <x:f>(B3-C3)/C3*1</x:f>
        <x:v>0.3358685731670216</x:v>
      </x:c>
      <x:c r="E3" t="n">
        <x:f>B3-C3</x:f>
        <x:v>1104</x:v>
      </x:c>
      <x:c r="F3">
        <x:v>21034.08337</x:v>
      </x:c>
      <x:c r="G3">
        <x:v>11843.6</x:v>
      </x:c>
      <x:c r="H3" t="n">
        <x:f>(F3-G3)/G3*1</x:f>
        <x:v>0.7759873155121754</x:v>
      </x:c>
      <x:c r="I3" t="n">
        <x:f>F3-G3</x:f>
        <x:v>9190.48337</x:v>
      </x:c>
      <x:c r="J3">
        <x:v>12503.74951</x:v>
      </x:c>
      <x:c r="K3">
        <x:v>13089.4</x:v>
      </x:c>
      <x:c r="L3" t="n">
        <x:f>(J3-K3)/K3*1</x:f>
        <x:v>-0.044742348006784116</x:v>
      </x:c>
      <x:c r="M3" t="n">
        <x:f>J3-K3</x:f>
        <x:v>-585.65049</x:v>
      </x:c>
      <x:c r="N3" t="n">
        <x:f>J3+F3</x:f>
        <x:v>33537.83288</x:v>
      </x:c>
      <x:c r="O3" t="n">
        <x:f>K3+G3</x:f>
        <x:v>24933</x:v>
      </x:c>
      <x:c r="P3" t="n">
        <x:f>(N3-O3)/O3*1</x:f>
        <x:v>0.34511823206192604</x:v>
      </x:c>
      <x:c r="Q3" t="n">
        <x:f>N3-O3</x:f>
        <x:v>8604.832880000002</x:v>
      </x:c>
    </x:row>
    <x:row r="4">
      <x:c r="A4" t="str">
        <x:v>销售员004</x:v>
      </x:c>
      <x:c r="B4">
        <x:v>3561.5</x:v>
      </x:c>
      <x:c r="C4">
        <x:v>5416.94</x:v>
      </x:c>
      <x:c r="D4" t="n">
        <x:f>(B4-C4)/C4*1</x:f>
        <x:v>-0.34252548486784046</x:v>
      </x:c>
      <x:c r="E4" t="n">
        <x:f>B4-C4</x:f>
        <x:v>-1855.4399999999996</x:v>
      </x:c>
      <x:c r="F4">
        <x:v>23263.58327</x:v>
      </x:c>
      <x:c r="G4">
        <x:v>21900.489</x:v>
      </x:c>
      <x:c r="H4" t="n">
        <x:f>(F4-G4)/G4*1</x:f>
        <x:v>0.06224035773813077</x:v>
      </x:c>
      <x:c r="I4" t="n">
        <x:f>F4-G4</x:f>
        <x:v>1363.0942699999978</x:v>
      </x:c>
      <x:c r="J4">
        <x:v>14312.49964</x:v>
      </x:c>
      <x:c r="K4">
        <x:v>15609.795</x:v>
      </x:c>
      <x:c r="L4" t="n">
        <x:f>(J4-K4)/K4*1</x:f>
        <x:v>-0.08310777687983731</x:v>
      </x:c>
      <x:c r="M4" t="n">
        <x:f>J4-K4</x:f>
        <x:v>-1297.29536</x:v>
      </x:c>
      <x:c r="N4" t="n">
        <x:f>J4+F4</x:f>
        <x:v>37576.08291</x:v>
      </x:c>
      <x:c r="O4" t="n">
        <x:f>K4+G4</x:f>
        <x:v>37510.284</x:v>
      </x:c>
      <x:c r="P4" t="n">
        <x:f>(N4-O4)/O4*1</x:f>
        <x:v>0.001754156540110379</x:v>
      </x:c>
      <x:c r="Q4" t="n">
        <x:f>N4-O4</x:f>
        <x:v>65.7989099999977</x:v>
      </x:c>
    </x:row>
    <x:row r="5">
      <x:c r="A5" t="str">
        <x:v>销售员002</x:v>
      </x:c>
      <x:c r="B5">
        <x:v>3268</x:v>
      </x:c>
      <x:c r="C5">
        <x:v>5919.56</x:v>
      </x:c>
      <x:c r="D5" t="n">
        <x:f>(B5-C5)/C5*1</x:f>
        <x:v>-0.44793194088749844</x:v>
      </x:c>
      <x:c r="E5" t="n">
        <x:f>B5-C5</x:f>
        <x:v>-2651.5600000000004</x:v>
      </x:c>
      <x:c r="F5">
        <x:v>36339.16666</x:v>
      </x:c>
      <x:c r="G5">
        <x:v>31440.011</x:v>
      </x:c>
      <x:c r="H5" t="n">
        <x:f>(F5-G5)/G5*1</x:f>
        <x:v>0.15582550718573235</x:v>
      </x:c>
      <x:c r="I5" t="n">
        <x:f>F5-G5</x:f>
        <x:v>4899.155660000004</x:v>
      </x:c>
      <x:c r="J5">
        <x:v>11761.24989</x:v>
      </x:c>
      <x:c r="K5">
        <x:v>14576.305</x:v>
      </x:c>
      <x:c r="L5" t="n">
        <x:f>(J5-K5)/K5*1</x:f>
        <x:v>-0.19312542581950645</x:v>
      </x:c>
      <x:c r="M5" t="n">
        <x:f>J5-K5</x:f>
        <x:v>-2815.055110000001</x:v>
      </x:c>
      <x:c r="N5" t="n">
        <x:f>J5+F5</x:f>
        <x:v>48100.41655</x:v>
      </x:c>
      <x:c r="O5" t="n">
        <x:f>K5+G5</x:f>
        <x:v>46016.316</x:v>
      </x:c>
      <x:c r="P5" t="n">
        <x:f>(N5-O5)/O5*1</x:f>
        <x:v>0.045290469363084236</x:v>
      </x:c>
      <x:c r="Q5" t="n">
        <x:f>N5-O5</x:f>
        <x:v>2084.100550000003</x:v>
      </x:c>
    </x:row>
    <x:row r="6">
      <x:c r="A6" t="str">
        <x:v>销售员001</x:v>
      </x:c>
      <x:c r="B6">
        <x:v>3129.5</x:v>
      </x:c>
      <x:c r="C6">
        <x:v>2902</x:v>
      </x:c>
      <x:c r="D6" t="n">
        <x:f>(B6-C6)/C6*1</x:f>
        <x:v>0.07839421088904204</x:v>
      </x:c>
      <x:c r="E6" t="n">
        <x:f>B6-C6</x:f>
        <x:v>227.5</x:v>
      </x:c>
      <x:c r="F6">
        <x:v>16941.08334</x:v>
      </x:c>
      <x:c r="G6">
        <x:v>12094.7</x:v>
      </x:c>
      <x:c r="H6" t="n">
        <x:f>(F6-G6)/G6*1</x:f>
        <x:v>0.4007030633252582</x:v>
      </x:c>
      <x:c r="I6" t="n">
        <x:f>F6-G6</x:f>
        <x:v>4846.38334</x:v>
      </x:c>
      <x:c r="J6">
        <x:v>15820.41657</x:v>
      </x:c>
      <x:c r="K6">
        <x:v>19901.1</x:v>
      </x:c>
      <x:c r="L6" t="n">
        <x:f>(J6-K6)/K6*1</x:f>
        <x:v>-0.20504813452522722</x:v>
      </x:c>
      <x:c r="M6" t="n">
        <x:f>J6-K6</x:f>
        <x:v>-4080.683429999999</x:v>
      </x:c>
      <x:c r="N6" t="n">
        <x:f>J6+F6</x:f>
        <x:v>32761.49991</x:v>
      </x:c>
      <x:c r="O6" t="n">
        <x:f>K6+G6</x:f>
        <x:v>31995.8</x:v>
      </x:c>
      <x:c r="P6" t="n">
        <x:f>(N6-O6)/O6*1</x:f>
        <x:v>0.02393126316579049</x:v>
      </x:c>
      <x:c r="Q6" t="n">
        <x:f>N6-O6</x:f>
        <x:v>765.6999099999994</x:v>
      </x:c>
    </x:row>
    <x:row r="7">
      <x:c r="A7" t="str">
        <x:v>销售员006</x:v>
      </x:c>
      <x:c r="B7">
        <x:v>13586.5</x:v>
      </x:c>
      <x:c r="C7">
        <x:v>14074</x:v>
      </x:c>
      <x:c r="D7" t="n">
        <x:f>(B7-C7)/C7*1</x:f>
        <x:v>-0.03463834020179053</x:v>
      </x:c>
      <x:c r="E7" t="n">
        <x:f>B7-C7</x:f>
        <x:v>-487.5</x:v>
      </x:c>
      <x:c r="F7">
        <x:v>462</x:v>
      </x:c>
      <x:c r="G7">
        <x:v>261</x:v>
      </x:c>
      <x:c r="H7" t="n">
        <x:f>(F7-G7)/G7*1</x:f>
        <x:v>0.7701149425287356</x:v>
      </x:c>
      <x:c r="I7" t="n">
        <x:f>F7-G7</x:f>
        <x:v>201</x:v>
      </x:c>
      <x:c r="J7">
        <x:v>374</x:v>
      </x:c>
      <x:c r="K7">
        <x:v>36</x:v>
      </x:c>
      <x:c r="L7"/>
      <x:c r="M7" t="n">
        <x:f>J7-K7</x:f>
        <x:v>338</x:v>
      </x:c>
      <x:c r="N7" t="n">
        <x:f>J7+F7</x:f>
        <x:v>836</x:v>
      </x:c>
      <x:c r="O7" t="n">
        <x:f>K7+G7</x:f>
        <x:v>297</x:v>
      </x:c>
      <x:c r="P7" t="n">
        <x:f>(N7-O7)/O7*1</x:f>
        <x:v>1.8148148148148149</x:v>
      </x:c>
      <x:c r="Q7" t="n">
        <x:f>N7-O7</x:f>
        <x:v>539</x:v>
      </x:c>
    </x:row>
    <x:row r="8">
      <x:c r="A8" t="str">
        <x:v>销售员005</x:v>
      </x:c>
      <x:c r="B8">
        <x:v>16303</x:v>
      </x:c>
      <x:c r="C8">
        <x:v>14952.8</x:v>
      </x:c>
      <x:c r="D8" t="n">
        <x:f>(B8-C8)/C8*1</x:f>
        <x:v>0.09029746937028521</x:v>
      </x:c>
      <x:c r="E8" t="n">
        <x:f>B8-C8</x:f>
        <x:v>1350.2000000000007</x:v>
      </x:c>
      <x:c r="F8">
        <x:v>1635.83333</x:v>
      </x:c>
      <x:c r="G8">
        <x:v>137.2</x:v>
      </x:c>
      <x:c r="H8" t="n">
        <x:f>(F8-G8)/G8*1</x:f>
        <x:v>10.922983454810495</x:v>
      </x:c>
      <x:c r="I8" t="n">
        <x:f>F8-G8</x:f>
        <x:v>1498.63333</x:v>
      </x:c>
      <x:c r="J8">
        <x:v>70.33333</x:v>
      </x:c>
      <x:c r="K8">
        <x:v>14</x:v>
      </x:c>
      <x:c r="L8"/>
      <x:c r="M8" t="n">
        <x:f>J8-K8</x:f>
        <x:v>56.333330000000004</x:v>
      </x:c>
      <x:c r="N8" t="n">
        <x:f>J8+F8</x:f>
        <x:v>1706.1666599999999</x:v>
      </x:c>
      <x:c r="O8" t="n">
        <x:f>K8+G8</x:f>
        <x:v>151.2</x:v>
      </x:c>
      <x:c r="P8" t="n">
        <x:f>(N8-O8)/O8*1</x:f>
        <x:v>10.284171031746032</x:v>
      </x:c>
      <x:c r="Q8" t="n">
        <x:f>N8-O8</x:f>
        <x:v>1554.9666599999998</x:v>
      </x:c>
    </x:row>
    <x:row r="9">
      <x:c r="A9" t="s">
        <x:v>57</x:v>
      </x:c>
      <x:c r="B9" t="n">
        <x:f>SUM(B3:B8)</x:f>
        <x:v>0</x:v>
      </x:c>
      <x:c r="C9" t="n">
        <x:f>SUM(C3:C8)</x:f>
        <x:v>0</x:v>
      </x:c>
      <x:c r="D9" t="e">
        <x:f>(B9-C9)/C9*1</x:f>
        <x:v>#DIV/0!</x:v>
      </x:c>
      <x:c r="E9" t="n">
        <x:f>B9-C9</x:f>
        <x:v>0</x:v>
      </x:c>
      <x:c r="F9" t="n">
        <x:f>SUM(F3:F8)</x:f>
        <x:v>0</x:v>
      </x:c>
      <x:c r="G9" t="n">
        <x:f>SUM(G3:G8)</x:f>
        <x:v>0</x:v>
      </x:c>
      <x:c r="H9" t="n">
        <x:f>SUM(H3:H8)</x:f>
        <x:v>13.087854641100527</x:v>
      </x:c>
      <x:c r="I9" t="n">
        <x:f>SUM(I3:I8)</x:f>
        <x:v>21998.74997</x:v>
      </x:c>
      <x:c r="J9" t="n">
        <x:f>SUM(J3:J8)</x:f>
        <x:v>0</x:v>
      </x:c>
      <x:c r="K9" t="n">
        <x:f>SUM(K3:K8)</x:f>
        <x:v>0</x:v>
      </x:c>
      <x:c r="L9" t="e">
        <x:f>(J9-K9)/K9*1</x:f>
        <x:v>#DIV/0!</x:v>
      </x:c>
      <x:c r="M9" t="n">
        <x:f>J9-K9</x:f>
        <x:v>0</x:v>
      </x:c>
      <x:c r="N9" t="n">
        <x:f>J9+F9</x:f>
        <x:v>0</x:v>
      </x:c>
      <x:c r="O9" t="n">
        <x:f>K9+G9</x:f>
        <x:v>0</x:v>
      </x:c>
      <x:c r="P9" t="e">
        <x:f>(N9-O9)/O9*1</x:f>
        <x:v>#DIV/0!</x:v>
      </x:c>
      <x:c r="Q9" t="n">
        <x:f>N9-O9</x:f>
        <x:v>0</x:v>
      </x:c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3.5" hidden="0" customWidth="1"/>
    <x:col min="2" max="2" width="37.880001068115234" hidden="0" customWidth="1"/>
    <x:col min="3" max="3" width="9" hidden="0" customWidth="1"/>
    <x:col min="4" max="4" width="9" hidden="0" customWidth="1"/>
    <x:col min="7" max="7" width="7.5" hidden="0" customWidth="1"/>
  </x:cols>
  <x:sheetData>
    <x:row r="1">
      <x:c r="A1" t="s">
        <x:v>3</x:v>
      </x:c>
      <x:c r="B1" t="s">
        <x:v>88</x:v>
      </x:c>
      <x:c r="C1" t="s">
        <x:v>89</x:v>
      </x:c>
      <x:c r="D1" t="s">
        <x:v>90</x:v>
      </x:c>
      <x:c r="E1"/>
      <x:c r="F1"/>
      <x:c r="G1" t="n">
        <x:f>C120</x:f>
        <x:v>243004.10000000006</x:v>
      </x:c>
    </x:row>
    <x:row r="2">
      <x:c r="A2" t="str">
        <x:v>销售员009</x:v>
      </x:c>
      <x:c r="B2" t="s">
        <x:v>91</x:v>
      </x:c>
      <x:c r="C2">
        <x:v>0</x:v>
      </x:c>
      <x:c r="D2">
        <x:v>0</x:v>
      </x:c>
      <x:c r="E2"/>
      <x:c r="F2"/>
      <x:c r="G2"/>
    </x:row>
    <x:row r="3">
      <x:c r="A3" t="str">
        <x:v>销售员007</x:v>
      </x:c>
      <x:c r="B3" t="s">
        <x:v>92</x:v>
      </x:c>
      <x:c r="C3">
        <x:v>322</x:v>
      </x:c>
      <x:c r="D3">
        <x:v>1.955</x:v>
      </x:c>
      <x:c r="E3"/>
      <x:c r="F3"/>
      <x:c r="G3"/>
    </x:row>
    <x:row r="4">
      <x:c r="A4" t="str">
        <x:v>销售员005</x:v>
      </x:c>
      <x:c r="B4" t="s">
        <x:v>92</x:v>
      </x:c>
      <x:c r="C4">
        <x:v>47.5</x:v>
      </x:c>
      <x:c r="D4">
        <x:v>0.288</x:v>
      </x:c>
      <x:c r="E4"/>
      <x:c r="F4"/>
      <x:c r="G4"/>
    </x:row>
    <x:row r="5">
      <x:c r="A5" t="str">
        <x:v>销售员003</x:v>
      </x:c>
      <x:c r="B5" t="s">
        <x:v>93</x:v>
      </x:c>
      <x:c r="C5">
        <x:v>3666</x:v>
      </x:c>
      <x:c r="D5">
        <x:v>23.506</x:v>
      </x:c>
      <x:c r="E5"/>
      <x:c r="F5"/>
      <x:c r="G5"/>
    </x:row>
    <x:row r="6">
      <x:c r="A6" t="str">
        <x:v>销售员009</x:v>
      </x:c>
      <x:c r="B6" t="s">
        <x:v>93</x:v>
      </x:c>
      <x:c r="C6">
        <x:v>3287</x:v>
      </x:c>
      <x:c r="D6">
        <x:v>21.076</x:v>
      </x:c>
      <x:c r="E6"/>
      <x:c r="F6"/>
      <x:c r="G6"/>
    </x:row>
    <x:row r="7">
      <x:c r="A7" t="str">
        <x:v>销售员006</x:v>
      </x:c>
      <x:c r="B7" t="s">
        <x:v>93</x:v>
      </x:c>
      <x:c r="C7">
        <x:v>14074</x:v>
      </x:c>
      <x:c r="D7">
        <x:v>90.243</x:v>
      </x:c>
      <x:c r="E7"/>
      <x:c r="F7"/>
      <x:c r="G7"/>
    </x:row>
    <x:row r="8">
      <x:c r="A8" t="str">
        <x:v>销售员013</x:v>
      </x:c>
      <x:c r="B8" t="s">
        <x:v>93</x:v>
      </x:c>
      <x:c r="C8">
        <x:v>5</x:v>
      </x:c>
      <x:c r="D8">
        <x:v>0.032</x:v>
      </x:c>
      <x:c r="E8"/>
      <x:c r="F8"/>
      <x:c r="G8"/>
    </x:row>
    <x:row r="9">
      <x:c r="A9" t="str">
        <x:v>销售员004</x:v>
      </x:c>
      <x:c r="B9" t="s">
        <x:v>93</x:v>
      </x:c>
      <x:c r="C9">
        <x:v>3418.5</x:v>
      </x:c>
      <x:c r="D9">
        <x:v>21.92</x:v>
      </x:c>
      <x:c r="E9"/>
      <x:c r="F9"/>
      <x:c r="G9"/>
    </x:row>
    <x:row r="10">
      <x:c r="A10" t="str">
        <x:v>销售员001</x:v>
      </x:c>
      <x:c r="B10" t="s">
        <x:v>93</x:v>
      </x:c>
      <x:c r="C10">
        <x:v>2902</x:v>
      </x:c>
      <x:c r="D10">
        <x:v>18.608</x:v>
      </x:c>
      <x:c r="E10"/>
      <x:c r="F10"/>
      <x:c r="G10"/>
    </x:row>
    <x:row r="11">
      <x:c r="A11" t="str">
        <x:v>销售员002</x:v>
      </x:c>
      <x:c r="B11" t="s">
        <x:v>93</x:v>
      </x:c>
      <x:c r="C11">
        <x:v>4252</x:v>
      </x:c>
      <x:c r="D11">
        <x:v>27.264</x:v>
      </x:c>
      <x:c r="E11"/>
      <x:c r="F11"/>
      <x:c r="G11"/>
    </x:row>
    <x:row r="12">
      <x:c r="A12" t="str">
        <x:v>销售员005</x:v>
      </x:c>
      <x:c r="B12" t="s">
        <x:v>93</x:v>
      </x:c>
      <x:c r="C12">
        <x:v>14952.8</x:v>
      </x:c>
      <x:c r="D12">
        <x:v>95.878</x:v>
      </x:c>
      <x:c r="E12"/>
      <x:c r="F12"/>
      <x:c r="G12"/>
    </x:row>
    <x:row r="13">
      <x:c r="A13" t="str">
        <x:v>销售员006</x:v>
      </x:c>
      <x:c r="B13" t="s">
        <x:v>94</x:v>
      </x:c>
      <x:c r="C13">
        <x:v>347</x:v>
      </x:c>
      <x:c r="D13">
        <x:v>2.225</x:v>
      </x:c>
      <x:c r="E13"/>
      <x:c r="F13"/>
      <x:c r="G13"/>
    </x:row>
    <x:row r="14">
      <x:c r="A14" t="str">
        <x:v>销售员002</x:v>
      </x:c>
      <x:c r="B14" t="s">
        <x:v>94</x:v>
      </x:c>
      <x:c r="C14">
        <x:v>60</x:v>
      </x:c>
      <x:c r="D14">
        <x:v>0.385</x:v>
      </x:c>
      <x:c r="E14"/>
      <x:c r="F14"/>
      <x:c r="G14"/>
    </x:row>
    <x:row r="15">
      <x:c r="A15" t="str">
        <x:v>销售员005</x:v>
      </x:c>
      <x:c r="B15" t="s">
        <x:v>94</x:v>
      </x:c>
      <x:c r="C15">
        <x:v>612</x:v>
      </x:c>
      <x:c r="D15">
        <x:v>3.924</x:v>
      </x:c>
      <x:c r="E15"/>
      <x:c r="F15"/>
      <x:c r="G15"/>
    </x:row>
    <x:row r="16">
      <x:c r="A16" t="str">
        <x:v>销售员003</x:v>
      </x:c>
      <x:c r="B16" t="s">
        <x:v>95</x:v>
      </x:c>
      <x:c r="C16">
        <x:v>24362.3</x:v>
      </x:c>
      <x:c r="D16">
        <x:v>147.928</x:v>
      </x:c>
      <x:c r="E16"/>
      <x:c r="F16"/>
      <x:c r="G16"/>
    </x:row>
    <x:row r="17">
      <x:c r="A17" t="str">
        <x:v>销售员009</x:v>
      </x:c>
      <x:c r="B17" t="s">
        <x:v>95</x:v>
      </x:c>
      <x:c r="C17">
        <x:v>11843.6</x:v>
      </x:c>
      <x:c r="D17">
        <x:v>71.914</x:v>
      </x:c>
      <x:c r="E17"/>
      <x:c r="F17"/>
      <x:c r="G17"/>
    </x:row>
    <x:row r="18">
      <x:c r="A18" t="str">
        <x:v>销售员006</x:v>
      </x:c>
      <x:c r="B18" t="s">
        <x:v>95</x:v>
      </x:c>
      <x:c r="C18">
        <x:v>261</x:v>
      </x:c>
      <x:c r="D18">
        <x:v>1.585</x:v>
      </x:c>
      <x:c r="E18"/>
      <x:c r="F18"/>
      <x:c r="G18"/>
    </x:row>
    <x:row r="19">
      <x:c r="A19" t="str">
        <x:v>销售员004</x:v>
      </x:c>
      <x:c r="B19" t="s">
        <x:v>95</x:v>
      </x:c>
      <x:c r="C19">
        <x:v>15659.5</x:v>
      </x:c>
      <x:c r="D19">
        <x:v>95.085</x:v>
      </x:c>
      <x:c r="E19"/>
      <x:c r="F19"/>
      <x:c r="G19"/>
    </x:row>
    <x:row r="20">
      <x:c r="A20" t="str">
        <x:v>销售员001</x:v>
      </x:c>
      <x:c r="B20" t="s">
        <x:v>95</x:v>
      </x:c>
      <x:c r="C20">
        <x:v>12094.7</x:v>
      </x:c>
      <x:c r="D20">
        <x:v>73.439</x:v>
      </x:c>
      <x:c r="E20"/>
      <x:c r="F20"/>
      <x:c r="G20"/>
    </x:row>
    <x:row r="21">
      <x:c r="A21" t="str">
        <x:v>销售员002</x:v>
      </x:c>
      <x:c r="B21" t="s">
        <x:v>95</x:v>
      </x:c>
      <x:c r="C21">
        <x:v>13278.7</x:v>
      </x:c>
      <x:c r="D21">
        <x:v>80.629</x:v>
      </x:c>
      <x:c r="E21"/>
      <x:c r="F21"/>
      <x:c r="G21"/>
    </x:row>
    <x:row r="22">
      <x:c r="A22" t="str">
        <x:v>销售员005</x:v>
      </x:c>
      <x:c r="B22" t="s">
        <x:v>95</x:v>
      </x:c>
      <x:c r="C22">
        <x:v>89.7</x:v>
      </x:c>
      <x:c r="D22">
        <x:v>0.544</x:v>
      </x:c>
      <x:c r="E22"/>
      <x:c r="F22"/>
      <x:c r="G22"/>
    </x:row>
    <x:row r="23">
      <x:c r="A23" t="str">
        <x:v>销售员001</x:v>
      </x:c>
      <x:c r="B23" t="s">
        <x:v>96</x:v>
      </x:c>
      <x:c r="C23">
        <x:v>0</x:v>
      </x:c>
      <x:c r="D23">
        <x:v>0</x:v>
      </x:c>
      <x:c r="E23"/>
      <x:c r="F23"/>
      <x:c r="G23"/>
    </x:row>
    <x:row r="24">
      <x:c r="A24" t="str">
        <x:v>销售员006</x:v>
      </x:c>
      <x:c r="B24" t="s">
        <x:v>97</x:v>
      </x:c>
      <x:c r="C24">
        <x:v>540</x:v>
      </x:c>
      <x:c r="D24">
        <x:v>3.213</x:v>
      </x:c>
      <x:c r="E24"/>
      <x:c r="F24"/>
      <x:c r="G24"/>
    </x:row>
    <x:row r="25">
      <x:c r="A25" t="str">
        <x:v>销售员005</x:v>
      </x:c>
      <x:c r="B25" t="s">
        <x:v>97</x:v>
      </x:c>
      <x:c r="C25">
        <x:v>1096.7</x:v>
      </x:c>
      <x:c r="D25">
        <x:v>6.526</x:v>
      </x:c>
      <x:c r="E25"/>
      <x:c r="F25"/>
      <x:c r="G25"/>
    </x:row>
    <x:row r="26">
      <x:c r="A26" t="str">
        <x:v>销售员003</x:v>
      </x:c>
      <x:c r="B26" t="s">
        <x:v>98</x:v>
      </x:c>
      <x:c r="C26">
        <x:v>40</x:v>
      </x:c>
      <x:c r="D26">
        <x:v>0.243</x:v>
      </x:c>
      <x:c r="E26"/>
      <x:c r="F26"/>
      <x:c r="G26"/>
    </x:row>
    <x:row r="27">
      <x:c r="A27" t="str">
        <x:v>销售员003</x:v>
      </x:c>
      <x:c r="B27" t="s">
        <x:v>99</x:v>
      </x:c>
      <x:c r="C27">
        <x:v>280</x:v>
      </x:c>
      <x:c r="D27">
        <x:v>2.04</x:v>
      </x:c>
      <x:c r="E27"/>
      <x:c r="F27"/>
      <x:c r="G27"/>
    </x:row>
    <x:row r="28">
      <x:c r="A28" t="str">
        <x:v>销售员006</x:v>
      </x:c>
      <x:c r="B28" t="s">
        <x:v>99</x:v>
      </x:c>
      <x:c r="C28">
        <x:v>170</x:v>
      </x:c>
      <x:c r="D28">
        <x:v>1.239</x:v>
      </x:c>
      <x:c r="E28"/>
      <x:c r="F28"/>
      <x:c r="G28"/>
    </x:row>
    <x:row r="29">
      <x:c r="A29" t="str">
        <x:v>销售员004</x:v>
      </x:c>
      <x:c r="B29" t="s">
        <x:v>99</x:v>
      </x:c>
      <x:c r="C29">
        <x:v>31</x:v>
      </x:c>
      <x:c r="D29">
        <x:v>0.226</x:v>
      </x:c>
      <x:c r="E29"/>
      <x:c r="F29"/>
      <x:c r="G29"/>
    </x:row>
    <x:row r="30">
      <x:c r="A30" t="str">
        <x:v>销售员001</x:v>
      </x:c>
      <x:c r="B30" t="s">
        <x:v>99</x:v>
      </x:c>
      <x:c r="C30">
        <x:v>890</x:v>
      </x:c>
      <x:c r="D30">
        <x:v>6.485</x:v>
      </x:c>
      <x:c r="E30"/>
      <x:c r="F30"/>
      <x:c r="G30"/>
    </x:row>
    <x:row r="31">
      <x:c r="A31" t="str">
        <x:v>销售员002</x:v>
      </x:c>
      <x:c r="B31" t="s">
        <x:v>99</x:v>
      </x:c>
      <x:c r="C31">
        <x:v>130</x:v>
      </x:c>
      <x:c r="D31">
        <x:v>0.947</x:v>
      </x:c>
      <x:c r="E31"/>
      <x:c r="F31"/>
      <x:c r="G31"/>
    </x:row>
    <x:row r="32">
      <x:c r="A32" t="str">
        <x:v>销售员003</x:v>
      </x:c>
      <x:c r="B32" t="s">
        <x:v>100</x:v>
      </x:c>
      <x:c r="C32">
        <x:v>714</x:v>
      </x:c>
      <x:c r="D32">
        <x:v>4.578</x:v>
      </x:c>
      <x:c r="E32"/>
      <x:c r="F32"/>
      <x:c r="G32"/>
    </x:row>
    <x:row r="33">
      <x:c r="A33" t="str">
        <x:v>销售员009</x:v>
      </x:c>
      <x:c r="B33" t="s">
        <x:v>100</x:v>
      </x:c>
      <x:c r="C33">
        <x:v>1878</x:v>
      </x:c>
      <x:c r="D33">
        <x:v>12.042</x:v>
      </x:c>
      <x:c r="E33"/>
      <x:c r="F33"/>
      <x:c r="G33"/>
    </x:row>
    <x:row r="34">
      <x:c r="A34" t="str">
        <x:v>销售员004</x:v>
      </x:c>
      <x:c r="B34" t="s">
        <x:v>100</x:v>
      </x:c>
      <x:c r="C34">
        <x:v>957</x:v>
      </x:c>
      <x:c r="D34">
        <x:v>6.136</x:v>
      </x:c>
      <x:c r="E34"/>
      <x:c r="F34"/>
      <x:c r="G34"/>
    </x:row>
    <x:row r="35">
      <x:c r="A35" t="str">
        <x:v>销售员001</x:v>
      </x:c>
      <x:c r="B35" t="s">
        <x:v>100</x:v>
      </x:c>
      <x:c r="C35">
        <x:v>860</x:v>
      </x:c>
      <x:c r="D35">
        <x:v>5.514</x:v>
      </x:c>
      <x:c r="E35"/>
      <x:c r="F35"/>
      <x:c r="G35"/>
    </x:row>
    <x:row r="36">
      <x:c r="A36" t="str">
        <x:v>销售员002</x:v>
      </x:c>
      <x:c r="B36" t="s">
        <x:v>100</x:v>
      </x:c>
      <x:c r="C36">
        <x:v>1836</x:v>
      </x:c>
      <x:c r="D36">
        <x:v>11.772</x:v>
      </x:c>
      <x:c r="E36"/>
      <x:c r="F36"/>
      <x:c r="G36"/>
    </x:row>
    <x:row r="37">
      <x:c r="A37" t="str">
        <x:v>销售员003</x:v>
      </x:c>
      <x:c r="B37" t="s">
        <x:v>101</x:v>
      </x:c>
      <x:c r="C37">
        <x:v>44</x:v>
      </x:c>
      <x:c r="D37">
        <x:v>0.267</x:v>
      </x:c>
      <x:c r="E37"/>
      <x:c r="F37"/>
      <x:c r="G37"/>
    </x:row>
    <x:row r="38">
      <x:c r="A38" t="str">
        <x:v>销售员004</x:v>
      </x:c>
      <x:c r="B38" t="s">
        <x:v>102</x:v>
      </x:c>
      <x:c r="C38">
        <x:v>30.7</x:v>
      </x:c>
      <x:c r="D38">
        <x:v>0.246</x:v>
      </x:c>
      <x:c r="E38"/>
      <x:c r="F38"/>
      <x:c r="G38"/>
    </x:row>
    <x:row r="39">
      <x:c r="A39" t="str">
        <x:v>销售员006</x:v>
      </x:c>
      <x:c r="B39" t="s">
        <x:v>103</x:v>
      </x:c>
      <x:c r="C39">
        <x:v>215.2</x:v>
      </x:c>
      <x:c r="D39">
        <x:v>1.241</x:v>
      </x:c>
      <x:c r="E39"/>
      <x:c r="F39"/>
      <x:c r="G39"/>
    </x:row>
    <x:row r="40">
      <x:c r="A40" t="str">
        <x:v>销售员005</x:v>
      </x:c>
      <x:c r="B40" t="s">
        <x:v>103</x:v>
      </x:c>
      <x:c r="C40">
        <x:v>293.9</x:v>
      </x:c>
      <x:c r="D40">
        <x:v>1.695</x:v>
      </x:c>
      <x:c r="E40"/>
      <x:c r="F40"/>
      <x:c r="G40"/>
    </x:row>
    <x:row r="41">
      <x:c r="A41" t="str">
        <x:v>销售员005</x:v>
      </x:c>
      <x:c r="B41" t="s">
        <x:v>104</x:v>
      </x:c>
      <x:c r="C41">
        <x:v>40</x:v>
      </x:c>
      <x:c r="D41">
        <x:v>0.134</x:v>
      </x:c>
      <x:c r="E41"/>
      <x:c r="F41"/>
      <x:c r="G41"/>
    </x:row>
    <x:row r="42">
      <x:c r="A42" t="str">
        <x:v>销售员005</x:v>
      </x:c>
      <x:c r="B42" t="s">
        <x:v>105</x:v>
      </x:c>
      <x:c r="C42">
        <x:v>34</x:v>
      </x:c>
      <x:c r="D42">
        <x:v>0.202</x:v>
      </x:c>
      <x:c r="E42"/>
      <x:c r="F42"/>
      <x:c r="G42"/>
    </x:row>
    <x:row r="43">
      <x:c r="A43" t="str">
        <x:v>销售员003</x:v>
      </x:c>
      <x:c r="B43" t="s">
        <x:v>106</x:v>
      </x:c>
      <x:c r="C43">
        <x:v>57</x:v>
      </x:c>
      <x:c r="D43">
        <x:v>0.388</x:v>
      </x:c>
      <x:c r="E43"/>
      <x:c r="F43"/>
      <x:c r="G43"/>
    </x:row>
    <x:row r="44">
      <x:c r="A44" t="str">
        <x:v>销售员009</x:v>
      </x:c>
      <x:c r="B44" t="s">
        <x:v>106</x:v>
      </x:c>
      <x:c r="C44">
        <x:v>74</x:v>
      </x:c>
      <x:c r="D44">
        <x:v>0.503</x:v>
      </x:c>
      <x:c r="E44"/>
      <x:c r="F44"/>
      <x:c r="G44"/>
    </x:row>
    <x:row r="45">
      <x:c r="A45" t="str">
        <x:v>销售员006</x:v>
      </x:c>
      <x:c r="B45" t="s">
        <x:v>106</x:v>
      </x:c>
      <x:c r="C45">
        <x:v>92</x:v>
      </x:c>
      <x:c r="D45">
        <x:v>0.626</x:v>
      </x:c>
      <x:c r="E45"/>
      <x:c r="F45"/>
      <x:c r="G45"/>
    </x:row>
    <x:row r="46">
      <x:c r="A46" t="str">
        <x:v>销售员004</x:v>
      </x:c>
      <x:c r="B46" t="s">
        <x:v>106</x:v>
      </x:c>
      <x:c r="C46">
        <x:v>111</x:v>
      </x:c>
      <x:c r="D46">
        <x:v>0.755</x:v>
      </x:c>
      <x:c r="E46"/>
      <x:c r="F46"/>
      <x:c r="G46"/>
    </x:row>
    <x:row r="47">
      <x:c r="A47" t="str">
        <x:v>销售员001</x:v>
      </x:c>
      <x:c r="B47" t="s">
        <x:v>106</x:v>
      </x:c>
      <x:c r="C47">
        <x:v>68</x:v>
      </x:c>
      <x:c r="D47">
        <x:v>0.462</x:v>
      </x:c>
      <x:c r="E47"/>
      <x:c r="F47"/>
      <x:c r="G47"/>
    </x:row>
    <x:row r="48">
      <x:c r="A48" t="str">
        <x:v>销售员002</x:v>
      </x:c>
      <x:c r="B48" t="s">
        <x:v>106</x:v>
      </x:c>
      <x:c r="C48">
        <x:v>40</x:v>
      </x:c>
      <x:c r="D48">
        <x:v>0.272</x:v>
      </x:c>
      <x:c r="E48"/>
      <x:c r="F48"/>
      <x:c r="G48"/>
    </x:row>
    <x:row r="49">
      <x:c r="A49" t="str">
        <x:v>销售员005</x:v>
      </x:c>
      <x:c r="B49" t="s">
        <x:v>106</x:v>
      </x:c>
      <x:c r="C49">
        <x:v>279</x:v>
      </x:c>
      <x:c r="D49">
        <x:v>1.897</x:v>
      </x:c>
      <x:c r="E49"/>
      <x:c r="F49"/>
      <x:c r="G49"/>
    </x:row>
    <x:row r="50">
      <x:c r="A50" t="str">
        <x:v>销售员003</x:v>
      </x:c>
      <x:c r="B50" t="s">
        <x:v>107</x:v>
      </x:c>
      <x:c r="C50">
        <x:v>136</x:v>
      </x:c>
      <x:c r="D50">
        <x:v>1.057</x:v>
      </x:c>
      <x:c r="E50"/>
      <x:c r="F50"/>
      <x:c r="G50"/>
    </x:row>
    <x:row r="51">
      <x:c r="A51" t="str">
        <x:v>销售员009</x:v>
      </x:c>
      <x:c r="B51" t="s">
        <x:v>107</x:v>
      </x:c>
      <x:c r="C51">
        <x:v>74</x:v>
      </x:c>
      <x:c r="D51">
        <x:v>0.575</x:v>
      </x:c>
      <x:c r="E51"/>
      <x:c r="F51"/>
      <x:c r="G51"/>
    </x:row>
    <x:row r="52">
      <x:c r="A52" t="str">
        <x:v>销售员006</x:v>
      </x:c>
      <x:c r="B52" t="s">
        <x:v>107</x:v>
      </x:c>
      <x:c r="C52">
        <x:v>20</x:v>
      </x:c>
      <x:c r="D52">
        <x:v>0.155</x:v>
      </x:c>
      <x:c r="E52"/>
      <x:c r="F52"/>
      <x:c r="G52"/>
    </x:row>
    <x:row r="53">
      <x:c r="A53" t="str">
        <x:v>销售员004</x:v>
      </x:c>
      <x:c r="B53" t="s">
        <x:v>107</x:v>
      </x:c>
      <x:c r="C53">
        <x:v>106</x:v>
      </x:c>
      <x:c r="D53">
        <x:v>0.824</x:v>
      </x:c>
      <x:c r="E53"/>
      <x:c r="F53"/>
      <x:c r="G53"/>
    </x:row>
    <x:row r="54">
      <x:c r="A54" t="str">
        <x:v>销售员001</x:v>
      </x:c>
      <x:c r="B54" t="s">
        <x:v>107</x:v>
      </x:c>
      <x:c r="C54">
        <x:v>30</x:v>
      </x:c>
      <x:c r="D54">
        <x:v>0.233</x:v>
      </x:c>
      <x:c r="E54"/>
      <x:c r="F54"/>
      <x:c r="G54"/>
    </x:row>
    <x:row r="55">
      <x:c r="A55" t="str">
        <x:v>销售员002</x:v>
      </x:c>
      <x:c r="B55" t="s">
        <x:v>107</x:v>
      </x:c>
      <x:c r="C55">
        <x:v>100</x:v>
      </x:c>
      <x:c r="D55">
        <x:v>0.777</x:v>
      </x:c>
      <x:c r="E55"/>
      <x:c r="F55"/>
      <x:c r="G55"/>
    </x:row>
    <x:row r="56">
      <x:c r="A56" t="str">
        <x:v>销售员005</x:v>
      </x:c>
      <x:c r="B56" t="s">
        <x:v>107</x:v>
      </x:c>
      <x:c r="C56">
        <x:v>173</x:v>
      </x:c>
      <x:c r="D56">
        <x:v>1.345</x:v>
      </x:c>
      <x:c r="E56"/>
      <x:c r="F56"/>
      <x:c r="G56"/>
    </x:row>
    <x:row r="57">
      <x:c r="A57" t="str">
        <x:v>销售员003</x:v>
      </x:c>
      <x:c r="B57" t="s">
        <x:v>108</x:v>
      </x:c>
      <x:c r="C57">
        <x:v>203.5</x:v>
      </x:c>
      <x:c r="D57">
        <x:v>1.236</x:v>
      </x:c>
      <x:c r="E57"/>
      <x:c r="F57"/>
      <x:c r="G57"/>
    </x:row>
    <x:row r="58">
      <x:c r="A58" t="str">
        <x:v>销售员009</x:v>
      </x:c>
      <x:c r="B58" t="s">
        <x:v>108</x:v>
      </x:c>
      <x:c r="C58">
        <x:v>20</x:v>
      </x:c>
      <x:c r="D58">
        <x:v>0.121</x:v>
      </x:c>
      <x:c r="E58"/>
      <x:c r="F58"/>
      <x:c r="G58"/>
    </x:row>
    <x:row r="59">
      <x:c r="A59" t="str">
        <x:v>销售员004</x:v>
      </x:c>
      <x:c r="B59" t="s">
        <x:v>108</x:v>
      </x:c>
      <x:c r="C59">
        <x:v>102.5</x:v>
      </x:c>
      <x:c r="D59">
        <x:v>0.622</x:v>
      </x:c>
      <x:c r="E59"/>
      <x:c r="F59"/>
      <x:c r="G59"/>
    </x:row>
    <x:row r="60">
      <x:c r="A60" t="str">
        <x:v>销售员001</x:v>
      </x:c>
      <x:c r="B60" t="s">
        <x:v>108</x:v>
      </x:c>
      <x:c r="C60">
        <x:v>55</x:v>
      </x:c>
      <x:c r="D60">
        <x:v>0.334</x:v>
      </x:c>
      <x:c r="E60"/>
      <x:c r="F60"/>
      <x:c r="G60"/>
    </x:row>
    <x:row r="61">
      <x:c r="A61" t="str">
        <x:v>销售员002</x:v>
      </x:c>
      <x:c r="B61" t="s">
        <x:v>108</x:v>
      </x:c>
      <x:c r="C61">
        <x:v>45.5</x:v>
      </x:c>
      <x:c r="D61">
        <x:v>0.276</x:v>
      </x:c>
      <x:c r="E61"/>
      <x:c r="F61"/>
      <x:c r="G61"/>
    </x:row>
    <x:row r="62">
      <x:c r="A62" t="str">
        <x:v>销售员005</x:v>
      </x:c>
      <x:c r="B62" t="s">
        <x:v>108</x:v>
      </x:c>
      <x:c r="C62">
        <x:v>12.5</x:v>
      </x:c>
      <x:c r="D62">
        <x:v>0.076</x:v>
      </x:c>
      <x:c r="E62"/>
      <x:c r="F62"/>
      <x:c r="G62"/>
    </x:row>
    <x:row r="63">
      <x:c r="A63" t="str">
        <x:v>销售员003</x:v>
      </x:c>
      <x:c r="B63" t="s">
        <x:v>109</x:v>
      </x:c>
      <x:c r="C63">
        <x:v>92</x:v>
      </x:c>
      <x:c r="D63">
        <x:v>0.542</x:v>
      </x:c>
      <x:c r="E63"/>
      <x:c r="F63"/>
      <x:c r="G63"/>
    </x:row>
    <x:row r="64">
      <x:c r="A64" t="str">
        <x:v>销售员009</x:v>
      </x:c>
      <x:c r="B64" t="s">
        <x:v>109</x:v>
      </x:c>
      <x:c r="C64">
        <x:v>34</x:v>
      </x:c>
      <x:c r="D64">
        <x:v>0.2</x:v>
      </x:c>
      <x:c r="E64"/>
      <x:c r="F64"/>
      <x:c r="G64"/>
    </x:row>
    <x:row r="65">
      <x:c r="A65" t="str">
        <x:v>销售员006</x:v>
      </x:c>
      <x:c r="B65" t="s">
        <x:v>109</x:v>
      </x:c>
      <x:c r="C65">
        <x:v>888.7</x:v>
      </x:c>
      <x:c r="D65">
        <x:v>5.234</x:v>
      </x:c>
      <x:c r="E65"/>
      <x:c r="F65"/>
      <x:c r="G65"/>
    </x:row>
    <x:row r="66">
      <x:c r="A66" t="str">
        <x:v>销售员004</x:v>
      </x:c>
      <x:c r="B66" t="s">
        <x:v>109</x:v>
      </x:c>
      <x:c r="C66">
        <x:v>65</x:v>
      </x:c>
      <x:c r="D66">
        <x:v>0.383</x:v>
      </x:c>
      <x:c r="E66"/>
      <x:c r="F66"/>
      <x:c r="G66"/>
    </x:row>
    <x:row r="67">
      <x:c r="A67" t="str">
        <x:v>销售员001</x:v>
      </x:c>
      <x:c r="B67" t="s">
        <x:v>109</x:v>
      </x:c>
      <x:c r="C67">
        <x:v>48</x:v>
      </x:c>
      <x:c r="D67">
        <x:v>0.283</x:v>
      </x:c>
      <x:c r="E67"/>
      <x:c r="F67"/>
      <x:c r="G67"/>
    </x:row>
    <x:row r="68">
      <x:c r="A68" t="str">
        <x:v>销售员002</x:v>
      </x:c>
      <x:c r="B68" t="s">
        <x:v>109</x:v>
      </x:c>
      <x:c r="C68">
        <x:v>55</x:v>
      </x:c>
      <x:c r="D68">
        <x:v>0.324</x:v>
      </x:c>
      <x:c r="E68"/>
      <x:c r="F68"/>
      <x:c r="G68"/>
    </x:row>
    <x:row r="69">
      <x:c r="A69" t="str">
        <x:v>销售员005</x:v>
      </x:c>
      <x:c r="B69" t="s">
        <x:v>109</x:v>
      </x:c>
      <x:c r="C69">
        <x:v>1034.8</x:v>
      </x:c>
      <x:c r="D69">
        <x:v>6.095</x:v>
      </x:c>
      <x:c r="E69"/>
      <x:c r="F69"/>
      <x:c r="G69"/>
    </x:row>
    <x:row r="70">
      <x:c r="A70" t="str">
        <x:v>销售员006</x:v>
      </x:c>
      <x:c r="B70" t="s">
        <x:v>110</x:v>
      </x:c>
      <x:c r="C70">
        <x:v>96</x:v>
      </x:c>
      <x:c r="D70">
        <x:v>0.616</x:v>
      </x:c>
      <x:c r="E70"/>
      <x:c r="F70"/>
      <x:c r="G70"/>
    </x:row>
    <x:row r="71">
      <x:c r="A71" t="str">
        <x:v>销售员005</x:v>
      </x:c>
      <x:c r="B71" t="s">
        <x:v>110</x:v>
      </x:c>
      <x:c r="C71">
        <x:v>649</x:v>
      </x:c>
      <x:c r="D71">
        <x:v>4.161</x:v>
      </x:c>
      <x:c r="E71"/>
      <x:c r="F71"/>
      <x:c r="G71"/>
    </x:row>
    <x:row r="72">
      <x:c r="A72" t="str">
        <x:v>销售员006</x:v>
      </x:c>
      <x:c r="B72" t="s">
        <x:v>111</x:v>
      </x:c>
      <x:c r="C72">
        <x:v>931</x:v>
      </x:c>
      <x:c r="D72">
        <x:v>5.653</x:v>
      </x:c>
      <x:c r="E72"/>
      <x:c r="F72"/>
      <x:c r="G72"/>
    </x:row>
    <x:row r="73">
      <x:c r="A73" t="str">
        <x:v>销售员003</x:v>
      </x:c>
      <x:c r="B73" t="s">
        <x:v>112</x:v>
      </x:c>
      <x:c r="C73">
        <x:v>3669</x:v>
      </x:c>
      <x:c r="D73">
        <x:v>26.734</x:v>
      </x:c>
      <x:c r="E73"/>
      <x:c r="F73"/>
      <x:c r="G73"/>
    </x:row>
    <x:row r="74">
      <x:c r="A74" t="str">
        <x:v>销售员009</x:v>
      </x:c>
      <x:c r="B74" t="s">
        <x:v>112</x:v>
      </x:c>
      <x:c r="C74">
        <x:v>6776</x:v>
      </x:c>
      <x:c r="D74">
        <x:v>49.373</x:v>
      </x:c>
      <x:c r="E74"/>
      <x:c r="F74"/>
      <x:c r="G74"/>
    </x:row>
    <x:row r="75">
      <x:c r="A75" t="str">
        <x:v>销售员006</x:v>
      </x:c>
      <x:c r="B75" t="s">
        <x:v>112</x:v>
      </x:c>
      <x:c r="C75">
        <x:v>248</x:v>
      </x:c>
      <x:c r="D75">
        <x:v>1.807</x:v>
      </x:c>
      <x:c r="E75"/>
      <x:c r="F75"/>
      <x:c r="G75"/>
    </x:row>
    <x:row r="76">
      <x:c r="A76" t="str">
        <x:v>销售员004</x:v>
      </x:c>
      <x:c r="B76" t="s">
        <x:v>112</x:v>
      </x:c>
      <x:c r="C76">
        <x:v>5063</x:v>
      </x:c>
      <x:c r="D76">
        <x:v>36.892</x:v>
      </x:c>
      <x:c r="E76"/>
      <x:c r="F76"/>
      <x:c r="G76"/>
    </x:row>
    <x:row r="77">
      <x:c r="A77" t="str">
        <x:v>销售员001</x:v>
      </x:c>
      <x:c r="B77" t="s">
        <x:v>112</x:v>
      </x:c>
      <x:c r="C77">
        <x:v>4044</x:v>
      </x:c>
      <x:c r="D77">
        <x:v>29.467</x:v>
      </x:c>
      <x:c r="E77"/>
      <x:c r="F77"/>
      <x:c r="G77"/>
    </x:row>
    <x:row r="78">
      <x:c r="A78" t="str">
        <x:v>销售员002</x:v>
      </x:c>
      <x:c r="B78" t="s">
        <x:v>112</x:v>
      </x:c>
      <x:c r="C78">
        <x:v>3087</x:v>
      </x:c>
      <x:c r="D78">
        <x:v>22.493</x:v>
      </x:c>
      <x:c r="E78"/>
      <x:c r="F78"/>
      <x:c r="G78"/>
    </x:row>
    <x:row r="79">
      <x:c r="A79" t="str">
        <x:v>销售员005</x:v>
      </x:c>
      <x:c r="B79" t="s">
        <x:v>112</x:v>
      </x:c>
      <x:c r="C79">
        <x:v>396.5</x:v>
      </x:c>
      <x:c r="D79">
        <x:v>2.889</x:v>
      </x:c>
      <x:c r="E79"/>
      <x:c r="F79"/>
      <x:c r="G79"/>
    </x:row>
    <x:row r="80">
      <x:c r="A80" t="str">
        <x:v>销售员007</x:v>
      </x:c>
      <x:c r="B80" t="s">
        <x:v>113</x:v>
      </x:c>
      <x:c r="C80">
        <x:v>420.5</x:v>
      </x:c>
      <x:c r="D80">
        <x:v>2.553</x:v>
      </x:c>
      <x:c r="E80"/>
      <x:c r="F80"/>
      <x:c r="G80"/>
    </x:row>
    <x:row r="81">
      <x:c r="A81" t="str">
        <x:v>销售员009</x:v>
      </x:c>
      <x:c r="B81" t="s">
        <x:v>114</x:v>
      </x:c>
      <x:c r="C81">
        <x:v>184</x:v>
      </x:c>
      <x:c r="D81">
        <x:v>1.341</x:v>
      </x:c>
      <x:c r="E81"/>
      <x:c r="F81"/>
      <x:c r="G81"/>
    </x:row>
    <x:row r="82">
      <x:c r="A82" t="str">
        <x:v>销售员004</x:v>
      </x:c>
      <x:c r="B82" t="s">
        <x:v>114</x:v>
      </x:c>
      <x:c r="C82">
        <x:v>13</x:v>
      </x:c>
      <x:c r="D82">
        <x:v>0.095</x:v>
      </x:c>
      <x:c r="E82"/>
      <x:c r="F82"/>
      <x:c r="G82"/>
    </x:row>
    <x:row r="83">
      <x:c r="A83" t="str">
        <x:v>销售员001</x:v>
      </x:c>
      <x:c r="B83" t="s">
        <x:v>114</x:v>
      </x:c>
      <x:c r="C83">
        <x:v>2056.1</x:v>
      </x:c>
      <x:c r="D83">
        <x:v>14.982</x:v>
      </x:c>
      <x:c r="E83"/>
      <x:c r="F83"/>
      <x:c r="G83"/>
    </x:row>
    <x:row r="84">
      <x:c r="A84" t="str">
        <x:v>销售员002</x:v>
      </x:c>
      <x:c r="B84" t="s">
        <x:v>114</x:v>
      </x:c>
      <x:c r="C84">
        <x:v>1316.1</x:v>
      </x:c>
      <x:c r="D84">
        <x:v>9.59</x:v>
      </x:c>
      <x:c r="E84"/>
      <x:c r="F84"/>
      <x:c r="G84"/>
    </x:row>
    <x:row r="85">
      <x:c r="A85" t="str">
        <x:v>销售员005</x:v>
      </x:c>
      <x:c r="B85" t="s">
        <x:v>114</x:v>
      </x:c>
      <x:c r="C85">
        <x:v>27</x:v>
      </x:c>
      <x:c r="D85">
        <x:v>0.197</x:v>
      </x:c>
      <x:c r="E85"/>
      <x:c r="F85"/>
      <x:c r="G85"/>
    </x:row>
    <x:row r="86">
      <x:c r="A86" t="str">
        <x:v>销售员003</x:v>
      </x:c>
      <x:c r="B86" t="s">
        <x:v>115</x:v>
      </x:c>
      <x:c r="C86">
        <x:v>914</x:v>
      </x:c>
      <x:c r="D86">
        <x:v>6.66</x:v>
      </x:c>
      <x:c r="E86"/>
      <x:c r="F86"/>
      <x:c r="G86"/>
    </x:row>
    <x:row r="87">
      <x:c r="A87" t="str">
        <x:v>销售员009</x:v>
      </x:c>
      <x:c r="B87" t="s">
        <x:v>115</x:v>
      </x:c>
      <x:c r="C87">
        <x:v>3344</x:v>
      </x:c>
      <x:c r="D87">
        <x:v>24.366</x:v>
      </x:c>
      <x:c r="E87"/>
      <x:c r="F87"/>
      <x:c r="G87"/>
    </x:row>
    <x:row r="88">
      <x:c r="A88" t="str">
        <x:v>销售员004</x:v>
      </x:c>
      <x:c r="B88" t="s">
        <x:v>115</x:v>
      </x:c>
      <x:c r="C88">
        <x:v>2219</x:v>
      </x:c>
      <x:c r="D88">
        <x:v>16.169</x:v>
      </x:c>
      <x:c r="E88"/>
      <x:c r="F88"/>
      <x:c r="G88"/>
    </x:row>
    <x:row r="89">
      <x:c r="A89" t="str">
        <x:v>销售员001</x:v>
      </x:c>
      <x:c r="B89" t="s">
        <x:v>115</x:v>
      </x:c>
      <x:c r="C89">
        <x:v>370</x:v>
      </x:c>
      <x:c r="D89">
        <x:v>2.696</x:v>
      </x:c>
      <x:c r="E89"/>
      <x:c r="F89"/>
      <x:c r="G89"/>
    </x:row>
    <x:row r="90">
      <x:c r="A90" t="str">
        <x:v>销售员002</x:v>
      </x:c>
      <x:c r="B90" t="s">
        <x:v>115</x:v>
      </x:c>
      <x:c r="C90">
        <x:v>2646</x:v>
      </x:c>
      <x:c r="D90">
        <x:v>19.28</x:v>
      </x:c>
      <x:c r="E90"/>
      <x:c r="F90"/>
      <x:c r="G90"/>
    </x:row>
    <x:row r="91">
      <x:c r="A91" t="str">
        <x:v>销售员003</x:v>
      </x:c>
      <x:c r="B91" t="s">
        <x:v>116</x:v>
      </x:c>
      <x:c r="C91">
        <x:v>242</x:v>
      </x:c>
      <x:c r="D91">
        <x:v>1.763</x:v>
      </x:c>
      <x:c r="E91"/>
      <x:c r="F91"/>
      <x:c r="G91"/>
    </x:row>
    <x:row r="92">
      <x:c r="A92" t="str">
        <x:v>销售员009</x:v>
      </x:c>
      <x:c r="B92" t="s">
        <x:v>116</x:v>
      </x:c>
      <x:c r="C92">
        <x:v>242</x:v>
      </x:c>
      <x:c r="D92">
        <x:v>1.763</x:v>
      </x:c>
      <x:c r="E92"/>
      <x:c r="F92"/>
      <x:c r="G92"/>
    </x:row>
    <x:row r="93">
      <x:c r="A93" t="str">
        <x:v>销售员004</x:v>
      </x:c>
      <x:c r="B93" t="s">
        <x:v>116</x:v>
      </x:c>
      <x:c r="C93">
        <x:v>70</x:v>
      </x:c>
      <x:c r="D93">
        <x:v>0.51</x:v>
      </x:c>
      <x:c r="E93"/>
      <x:c r="F93"/>
      <x:c r="G93"/>
    </x:row>
    <x:row r="94">
      <x:c r="A94" t="str">
        <x:v>销售员001</x:v>
      </x:c>
      <x:c r="B94" t="s">
        <x:v>116</x:v>
      </x:c>
      <x:c r="C94">
        <x:v>589</x:v>
      </x:c>
      <x:c r="D94">
        <x:v>4.292</x:v>
      </x:c>
      <x:c r="E94"/>
      <x:c r="F94"/>
      <x:c r="G94"/>
    </x:row>
    <x:row r="95">
      <x:c r="A95" t="str">
        <x:v>销售员002</x:v>
      </x:c>
      <x:c r="B95" t="s">
        <x:v>116</x:v>
      </x:c>
      <x:c r="C95">
        <x:v>107</x:v>
      </x:c>
      <x:c r="D95">
        <x:v>0.78</x:v>
      </x:c>
      <x:c r="E95"/>
      <x:c r="F95"/>
      <x:c r="G95"/>
    </x:row>
    <x:row r="96">
      <x:c r="A96" t="str">
        <x:v>销售员005</x:v>
      </x:c>
      <x:c r="B96" t="s">
        <x:v>116</x:v>
      </x:c>
      <x:c r="C96">
        <x:v>282</x:v>
      </x:c>
      <x:c r="D96">
        <x:v>2.055</x:v>
      </x:c>
      <x:c r="E96"/>
      <x:c r="F96"/>
      <x:c r="G96"/>
    </x:row>
    <x:row r="97">
      <x:c r="A97" t="str">
        <x:v>销售员003</x:v>
      </x:c>
      <x:c r="B97" t="s">
        <x:v>117</x:v>
      </x:c>
      <x:c r="C97">
        <x:v>5438.7</x:v>
      </x:c>
      <x:c r="D97">
        <x:v>33.024</x:v>
      </x:c>
      <x:c r="E97"/>
      <x:c r="F97"/>
      <x:c r="G97"/>
    </x:row>
    <x:row r="98">
      <x:c r="A98" t="str">
        <x:v>销售员009</x:v>
      </x:c>
      <x:c r="B98" t="s">
        <x:v>117</x:v>
      </x:c>
      <x:c r="C98">
        <x:v>7050.2</x:v>
      </x:c>
      <x:c r="D98">
        <x:v>42.809</x:v>
      </x:c>
      <x:c r="E98"/>
      <x:c r="F98"/>
      <x:c r="G98"/>
    </x:row>
    <x:row r="99">
      <x:c r="A99" t="str">
        <x:v>销售员004</x:v>
      </x:c>
      <x:c r="B99" t="s">
        <x:v>117</x:v>
      </x:c>
      <x:c r="C99">
        <x:v>6896</x:v>
      </x:c>
      <x:c r="D99">
        <x:v>41.873</x:v>
      </x:c>
      <x:c r="E99"/>
      <x:c r="F99"/>
      <x:c r="G99"/>
    </x:row>
    <x:row r="100">
      <x:c r="A100" t="str">
        <x:v>销售员001</x:v>
      </x:c>
      <x:c r="B100" t="s">
        <x:v>117</x:v>
      </x:c>
      <x:c r="C100">
        <x:v>10581.7</x:v>
      </x:c>
      <x:c r="D100">
        <x:v>64.252</x:v>
      </x:c>
      <x:c r="E100"/>
      <x:c r="F100"/>
      <x:c r="G100"/>
    </x:row>
    <x:row r="101">
      <x:c r="A101" t="str">
        <x:v>销售员002</x:v>
      </x:c>
      <x:c r="B101" t="s">
        <x:v>117</x:v>
      </x:c>
      <x:c r="C101">
        <x:v>5981.3</x:v>
      </x:c>
      <x:c r="D101">
        <x:v>36.319</x:v>
      </x:c>
      <x:c r="E101"/>
      <x:c r="F101"/>
      <x:c r="G101"/>
    </x:row>
    <x:row r="102">
      <x:c r="A102" t="str">
        <x:v>销售员003</x:v>
      </x:c>
      <x:c r="B102" t="s">
        <x:v>115</x:v>
      </x:c>
      <x:c r="C102">
        <x:v>0</x:v>
      </x:c>
      <x:c r="D102">
        <x:v>0</x:v>
      </x:c>
      <x:c r="E102"/>
      <x:c r="F102"/>
      <x:c r="G102"/>
    </x:row>
    <x:row r="103">
      <x:c r="A103" t="str">
        <x:v>销售员003</x:v>
      </x:c>
      <x:c r="B103" t="s">
        <x:v>118</x:v>
      </x:c>
      <x:c r="C103">
        <x:v>3833.1</x:v>
      </x:c>
      <x:c r="D103">
        <x:v>23.275</x:v>
      </x:c>
      <x:c r="E103"/>
      <x:c r="F103"/>
      <x:c r="G103"/>
    </x:row>
    <x:row r="104">
      <x:c r="A104" t="str">
        <x:v>销售员009</x:v>
      </x:c>
      <x:c r="B104" t="s">
        <x:v>118</x:v>
      </x:c>
      <x:c r="C104">
        <x:v>6039.2</x:v>
      </x:c>
      <x:c r="D104">
        <x:v>36.67</x:v>
      </x:c>
      <x:c r="E104"/>
      <x:c r="F104"/>
      <x:c r="G104"/>
    </x:row>
    <x:row r="105">
      <x:c r="A105" t="str">
        <x:v>销售员006</x:v>
      </x:c>
      <x:c r="B105" t="s">
        <x:v>118</x:v>
      </x:c>
      <x:c r="C105">
        <x:v>36</x:v>
      </x:c>
      <x:c r="D105">
        <x:v>0.219</x:v>
      </x:c>
      <x:c r="E105"/>
      <x:c r="F105"/>
      <x:c r="G105"/>
    </x:row>
    <x:row r="106">
      <x:c r="A106" t="str">
        <x:v>销售员004</x:v>
      </x:c>
      <x:c r="B106" t="s">
        <x:v>118</x:v>
      </x:c>
      <x:c r="C106">
        <x:v>4009.8</x:v>
      </x:c>
      <x:c r="D106">
        <x:v>24.348</x:v>
      </x:c>
      <x:c r="E106"/>
      <x:c r="F106"/>
      <x:c r="G106"/>
    </x:row>
    <x:row r="107">
      <x:c r="A107" t="str">
        <x:v>销售员001</x:v>
      </x:c>
      <x:c r="B107" t="s">
        <x:v>118</x:v>
      </x:c>
      <x:c r="C107">
        <x:v>9319.4</x:v>
      </x:c>
      <x:c r="D107">
        <x:v>56.588</x:v>
      </x:c>
      <x:c r="E107"/>
      <x:c r="F107"/>
      <x:c r="G107"/>
    </x:row>
    <x:row r="108">
      <x:c r="A108" t="str">
        <x:v>销售员002</x:v>
      </x:c>
      <x:c r="B108" t="s">
        <x:v>118</x:v>
      </x:c>
      <x:c r="C108">
        <x:v>4027.2</x:v>
      </x:c>
      <x:c r="D108">
        <x:v>24.454</x:v>
      </x:c>
      <x:c r="E108"/>
      <x:c r="F108"/>
      <x:c r="G108"/>
    </x:row>
    <x:row r="109">
      <x:c r="A109" t="str">
        <x:v>销售员005</x:v>
      </x:c>
      <x:c r="B109" t="s">
        <x:v>118</x:v>
      </x:c>
      <x:c r="C109">
        <x:v>14</x:v>
      </x:c>
      <x:c r="D109">
        <x:v>0.085</x:v>
      </x:c>
      <x:c r="E109"/>
      <x:c r="F109"/>
      <x:c r="G109"/>
    </x:row>
    <x:row r="110">
      <x:c r="A110" t="str">
        <x:v>销售员003</x:v>
      </x:c>
      <x:c r="B110" t="s">
        <x:v>119</x:v>
      </x:c>
      <x:c r="C110">
        <x:v>55</x:v>
      </x:c>
      <x:c r="D110">
        <x:v>0.334</x:v>
      </x:c>
      <x:c r="E110"/>
      <x:c r="F110"/>
      <x:c r="G110"/>
    </x:row>
    <x:row r="111">
      <x:c r="A111" t="str">
        <x:v>销售员004</x:v>
      </x:c>
      <x:c r="B111" t="s">
        <x:v>119</x:v>
      </x:c>
      <x:c r="C111">
        <x:v>17.5</x:v>
      </x:c>
      <x:c r="D111">
        <x:v>0.106</x:v>
      </x:c>
      <x:c r="E111"/>
      <x:c r="F111"/>
      <x:c r="G111"/>
    </x:row>
    <x:row r="112">
      <x:c r="A112" t="str">
        <x:v>销售员001</x:v>
      </x:c>
      <x:c r="B112" t="s">
        <x:v>119</x:v>
      </x:c>
      <x:c r="C112">
        <x:v>12.5</x:v>
      </x:c>
      <x:c r="D112">
        <x:v>0.076</x:v>
      </x:c>
      <x:c r="E112"/>
      <x:c r="F112"/>
      <x:c r="G112"/>
    </x:row>
    <x:row r="113">
      <x:c r="A113" t="str">
        <x:v>销售员002</x:v>
      </x:c>
      <x:c r="B113" t="s">
        <x:v>119</x:v>
      </x:c>
      <x:c r="C113">
        <x:v>35</x:v>
      </x:c>
      <x:c r="D113">
        <x:v>0.213</x:v>
      </x:c>
      <x:c r="E113"/>
      <x:c r="F113"/>
      <x:c r="G113"/>
    </x:row>
    <x:row r="114">
      <x:c r="A114" t="str">
        <x:v>销售员006</x:v>
      </x:c>
      <x:c r="B114" t="s">
        <x:v>120</x:v>
      </x:c>
      <x:c r="C114">
        <x:v>8</x:v>
      </x:c>
      <x:c r="D114">
        <x:v>0.048</x:v>
      </x:c>
      <x:c r="E114"/>
      <x:c r="F114"/>
      <x:c r="G114"/>
    </x:row>
    <x:row r="115">
      <x:c r="A115" t="str">
        <x:v>销售员005</x:v>
      </x:c>
      <x:c r="B115" t="s">
        <x:v>120</x:v>
      </x:c>
      <x:c r="C115">
        <x:v>16</x:v>
      </x:c>
      <x:c r="D115">
        <x:v>0.095</x:v>
      </x:c>
      <x:c r="E115"/>
      <x:c r="F115"/>
      <x:c r="G115"/>
    </x:row>
    <x:row r="116">
      <x:c r="A116" t="s">
        <x:v>118</x:v>
      </x:c>
      <x:c r="B116"/>
      <x:c r="C116"/>
      <x:c r="D116"/>
      <x:c r="E116"/>
      <x:c r="F116"/>
      <x:c r="G116"/>
    </x:row>
    <x:row r="117">
      <x:c r="A117"/>
      <x:c r="B117"/>
      <x:c r="C117"/>
      <x:c r="D117"/>
      <x:c r="E117"/>
      <x:c r="F117"/>
      <x:c r="G117"/>
    </x:row>
    <x:row r="118">
      <x:c r="A118"/>
      <x:c r="B118"/>
      <x:c r="C118"/>
      <x:c r="D118"/>
      <x:c r="E118"/>
      <x:c r="F118"/>
      <x:c r="G118"/>
    </x:row>
    <x:row r="119">
      <x:c r="A119"/>
      <x:c r="B119"/>
      <x:c r="C119"/>
      <x:c r="D119"/>
      <x:c r="E119"/>
      <x:c r="F119"/>
      <x:c r="G119"/>
    </x:row>
    <x:row r="120">
      <x:c r="A120"/>
      <x:c r="B120"/>
      <x:c r="C120" t="n">
        <x:f>SUBTOTAL(9,C2:C119)</x:f>
        <x:v>243004.10000000006</x:v>
      </x:c>
      <x:c r="D120"/>
      <x:c r="E120"/>
      <x:c r="F120"/>
      <x:c r="G12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39.5" hidden="0" customWidth="1"/>
    <x:col min="3" max="3" width="9" hidden="0" customWidth="1"/>
    <x:col min="4" max="4" width="9" hidden="0" customWidth="1"/>
  </x:cols>
  <x:sheetData>
    <x:row r="1">
      <x:c r="A1" t="s">
        <x:v>121</x:v>
      </x:c>
      <x:c r="B1"/>
      <x:c r="C1"/>
      <x:c r="D1"/>
    </x:row>
    <x:row r="2">
      <x:c r="A2" t="s">
        <x:v>122</x:v>
      </x:c>
      <x:c r="B2"/>
      <x:c r="C2"/>
      <x:c r="D2"/>
    </x:row>
    <x:row r="3">
      <x:c r="A3" t="s">
        <x:v>3</x:v>
      </x:c>
      <x:c r="B3" t="s">
        <x:v>88</x:v>
      </x:c>
      <x:c r="C3" t="s">
        <x:v>89</x:v>
      </x:c>
      <x:c r="D3" t="s">
        <x:v>90</x:v>
      </x:c>
    </x:row>
    <x:row r="4">
      <x:c r="A4" t="str">
        <x:v>销售员003</x:v>
      </x:c>
      <x:c r="B4" t="s">
        <x:v>92</x:v>
      </x:c>
      <x:c r="C4">
        <x:v>115</x:v>
      </x:c>
      <x:c r="D4">
        <x:v>0.698</x:v>
      </x:c>
    </x:row>
    <x:row r="5">
      <x:c r="A5" t="str">
        <x:v>销售员003</x:v>
      </x:c>
      <x:c r="B5" t="s">
        <x:v>93</x:v>
      </x:c>
      <x:c r="C5">
        <x:v>4391</x:v>
      </x:c>
      <x:c r="D5">
        <x:v>28.155</x:v>
      </x:c>
    </x:row>
    <x:row r="6">
      <x:c r="A6" t="str">
        <x:v>销售员003</x:v>
      </x:c>
      <x:c r="B6" t="s">
        <x:v>95</x:v>
      </x:c>
      <x:c r="C6">
        <x:v>21034.1</x:v>
      </x:c>
      <x:c r="D6">
        <x:v>127.719</x:v>
      </x:c>
    </x:row>
    <x:row r="7">
      <x:c r="A7" t="str">
        <x:v>销售员003</x:v>
      </x:c>
      <x:c r="B7" t="s">
        <x:v>123</x:v>
      </x:c>
      <x:c r="C7">
        <x:v>72</x:v>
      </x:c>
      <x:c r="D7">
        <x:v>0.437</x:v>
      </x:c>
    </x:row>
    <x:row r="8">
      <x:c r="A8" t="str">
        <x:v>销售员003</x:v>
      </x:c>
      <x:c r="B8" t="s">
        <x:v>100</x:v>
      </x:c>
      <x:c r="C8">
        <x:v>1670.6</x:v>
      </x:c>
      <x:c r="D8">
        <x:v>10.712</x:v>
      </x:c>
    </x:row>
    <x:row r="9">
      <x:c r="A9" t="str">
        <x:v>销售员003</x:v>
      </x:c>
      <x:c r="B9" t="s">
        <x:v>107</x:v>
      </x:c>
      <x:c r="C9">
        <x:v>25</x:v>
      </x:c>
      <x:c r="D9">
        <x:v>0.194</x:v>
      </x:c>
    </x:row>
    <x:row r="10">
      <x:c r="A10" t="str">
        <x:v>销售员003</x:v>
      </x:c>
      <x:c r="B10" t="s">
        <x:v>124</x:v>
      </x:c>
      <x:c r="C10">
        <x:v>40</x:v>
      </x:c>
      <x:c r="D10">
        <x:v>0.243</x:v>
      </x:c>
    </x:row>
    <x:row r="11">
      <x:c r="A11" t="str">
        <x:v>销售员003</x:v>
      </x:c>
      <x:c r="B11" t="s">
        <x:v>108</x:v>
      </x:c>
      <x:c r="C11">
        <x:v>27.3</x:v>
      </x:c>
      <x:c r="D11">
        <x:v>0.165</x:v>
      </x:c>
    </x:row>
    <x:row r="12">
      <x:c r="A12" t="str">
        <x:v>销售员003</x:v>
      </x:c>
      <x:c r="B12" t="s">
        <x:v>109</x:v>
      </x:c>
      <x:c r="C12">
        <x:v>84</x:v>
      </x:c>
      <x:c r="D12">
        <x:v>0.495</x:v>
      </x:c>
    </x:row>
    <x:row r="13">
      <x:c r="A13" t="str">
        <x:v>销售员003</x:v>
      </x:c>
      <x:c r="B13" t="s">
        <x:v>110</x:v>
      </x:c>
      <x:c r="C13">
        <x:v>384</x:v>
      </x:c>
      <x:c r="D13">
        <x:v>2.462</x:v>
      </x:c>
    </x:row>
    <x:row r="14">
      <x:c r="A14" t="str">
        <x:v>销售员003</x:v>
      </x:c>
      <x:c r="B14" t="s">
        <x:v>112</x:v>
      </x:c>
      <x:c r="C14">
        <x:v>4966</x:v>
      </x:c>
      <x:c r="D14">
        <x:v>36.185</x:v>
      </x:c>
    </x:row>
    <x:row r="15">
      <x:c r="A15" t="str">
        <x:v>销售员003</x:v>
      </x:c>
      <x:c r="B15" t="s">
        <x:v>113</x:v>
      </x:c>
      <x:c r="C15">
        <x:v>82</x:v>
      </x:c>
      <x:c r="D15">
        <x:v>0.498</x:v>
      </x:c>
    </x:row>
    <x:row r="16">
      <x:c r="A16" t="str">
        <x:v>销售员003</x:v>
      </x:c>
      <x:c r="B16" t="s">
        <x:v>114</x:v>
      </x:c>
      <x:c r="C16">
        <x:v>140</x:v>
      </x:c>
      <x:c r="D16">
        <x:v>1.02</x:v>
      </x:c>
    </x:row>
    <x:row r="17">
      <x:c r="A17" t="str">
        <x:v>销售员003</x:v>
      </x:c>
      <x:c r="B17" t="s">
        <x:v>115</x:v>
      </x:c>
      <x:c r="C17">
        <x:v>2909</x:v>
      </x:c>
      <x:c r="D17">
        <x:v>21.196</x:v>
      </x:c>
    </x:row>
    <x:row r="18">
      <x:c r="A18" t="str">
        <x:v>销售员003</x:v>
      </x:c>
      <x:c r="B18" t="s">
        <x:v>116</x:v>
      </x:c>
      <x:c r="C18">
        <x:v>121</x:v>
      </x:c>
      <x:c r="D18">
        <x:v>0.882</x:v>
      </x:c>
    </x:row>
    <x:row r="19">
      <x:c r="A19" t="str">
        <x:v>销售员003</x:v>
      </x:c>
      <x:c r="B19" t="s">
        <x:v>118</x:v>
      </x:c>
      <x:c r="C19">
        <x:v>12349.7</x:v>
      </x:c>
      <x:c r="D19">
        <x:v>74.988</x:v>
      </x:c>
    </x:row>
    <x:row r="20">
      <x:c r="A20" t="str">
        <x:v>销售员003</x:v>
      </x:c>
      <x:c r="B20" t="s">
        <x:v>125</x:v>
      </x:c>
      <x:c r="C20">
        <x:v>56</x:v>
      </x:c>
      <x:c r="D20">
        <x:v>0.449</x:v>
      </x:c>
    </x:row>
    <x:row r="21">
      <x:c r="A21" t="str">
        <x:v>销售员003</x:v>
      </x:c>
      <x:c r="B21" t="s">
        <x:v>119</x:v>
      </x:c>
      <x:c r="C21">
        <x:v>11.2</x:v>
      </x:c>
      <x:c r="D21">
        <x:v>0.068</x:v>
      </x:c>
    </x:row>
    <x:row r="22">
      <x:c r="A22" t="str">
        <x:v>销售员003</x:v>
      </x:c>
      <x:c r="B22" t="s">
        <x:v>120</x:v>
      </x:c>
      <x:c r="C22">
        <x:v>15</x:v>
      </x:c>
      <x:c r="D22">
        <x:v>0.089</x:v>
      </x:c>
    </x:row>
    <x:row r="23">
      <x:c r="A23" t="str">
        <x:v>销售员003</x:v>
      </x:c>
      <x:c r="B23" t="s">
        <x:v>126</x:v>
      </x:c>
      <x:c r="C23">
        <x:v>297</x:v>
      </x:c>
      <x:c r="D23">
        <x:v>1.767</x:v>
      </x:c>
    </x:row>
    <x:row r="24">
      <x:c r="A24" t="str">
        <x:v>销售员003</x:v>
      </x:c>
      <x:c r="B24" t="s">
        <x:v>127</x:v>
      </x:c>
      <x:c r="C24">
        <x:v>5</x:v>
      </x:c>
      <x:c r="D24">
        <x:v>0.03</x:v>
      </x:c>
    </x:row>
    <x:row r="25">
      <x:c r="A25" t="str">
        <x:v>销售员003</x:v>
      </x:c>
      <x:c r="B25" t="s">
        <x:v>128</x:v>
      </x:c>
      <x:c r="C25">
        <x:v>303.7</x:v>
      </x:c>
      <x:c r="D25">
        <x:v>1.844</x:v>
      </x:c>
    </x:row>
    <x:row r="26">
      <x:c r="A26" t="str">
        <x:v>销售员003</x:v>
      </x:c>
      <x:c r="B26" t="s">
        <x:v>129</x:v>
      </x:c>
      <x:c r="C26">
        <x:v>36</x:v>
      </x:c>
      <x:c r="D26">
        <x:v>0.219</x:v>
      </x:c>
    </x:row>
    <x:row r="27">
      <x:c r="A27" t="str">
        <x:v>销售员003</x:v>
      </x:c>
      <x:c r="B27" t="s">
        <x:v>130</x:v>
      </x:c>
      <x:c r="C27">
        <x:v>39</x:v>
      </x:c>
      <x:c r="D27">
        <x:v>0.237</x:v>
      </x:c>
    </x:row>
    <x:row r="28">
      <x:c r="A28" t="str">
        <x:v>销售员003</x:v>
      </x:c>
      <x:c r="B28" t="s">
        <x:v>131</x:v>
      </x:c>
      <x:c r="C28">
        <x:v>276.5</x:v>
      </x:c>
      <x:c r="D28">
        <x:v>1.679</x:v>
      </x:c>
    </x:row>
    <x:row r="29">
      <x:c r="A29" t="str">
        <x:v>销售员003</x:v>
      </x:c>
      <x:c r="B29" t="s">
        <x:v>132</x:v>
      </x:c>
      <x:c r="C29">
        <x:v>134</x:v>
      </x:c>
      <x:c r="D29">
        <x:v>0.814</x:v>
      </x:c>
    </x:row>
    <x:row r="30">
      <x:c r="A30" t="str">
        <x:v>销售员003</x:v>
      </x:c>
      <x:c r="B30" t="s">
        <x:v>133</x:v>
      </x:c>
      <x:c r="C30">
        <x:v>49584.1</x:v>
      </x:c>
      <x:c r="D30">
        <x:v>313.245</x:v>
      </x:c>
    </x:row>
    <x:row r="31">
      <x:c r="A31" t="s">
        <x:v>121</x:v>
      </x:c>
      <x:c r="B31"/>
      <x:c r="C31"/>
      <x:c r="D31"/>
    </x:row>
    <x:row r="32">
      <x:c r="A32" t="s">
        <x:v>122</x:v>
      </x:c>
      <x:c r="B32"/>
      <x:c r="C32"/>
      <x:c r="D32"/>
    </x:row>
    <x:row r="33">
      <x:c r="A33" t="s">
        <x:v>3</x:v>
      </x:c>
      <x:c r="B33" t="s">
        <x:v>88</x:v>
      </x:c>
      <x:c r="C33" t="s">
        <x:v>89</x:v>
      </x:c>
      <x:c r="D33" t="s">
        <x:v>90</x:v>
      </x:c>
    </x:row>
    <x:row r="34">
      <x:c r="A34" t="str">
        <x:v>销售员004</x:v>
      </x:c>
      <x:c r="B34" t="s">
        <x:v>92</x:v>
      </x:c>
      <x:c r="C34">
        <x:v>500</x:v>
      </x:c>
      <x:c r="D34">
        <x:v>3.036</x:v>
      </x:c>
    </x:row>
    <x:row r="35">
      <x:c r="A35" t="str">
        <x:v>销售员004</x:v>
      </x:c>
      <x:c r="B35" t="s">
        <x:v>93</x:v>
      </x:c>
      <x:c r="C35">
        <x:v>3561.5</x:v>
      </x:c>
      <x:c r="D35">
        <x:v>22.836</x:v>
      </x:c>
    </x:row>
    <x:row r="36">
      <x:c r="A36" t="str">
        <x:v>销售员004</x:v>
      </x:c>
      <x:c r="B36" t="s">
        <x:v>95</x:v>
      </x:c>
      <x:c r="C36">
        <x:v>23263.6</x:v>
      </x:c>
      <x:c r="D36">
        <x:v>141.257</x:v>
      </x:c>
    </x:row>
    <x:row r="37">
      <x:c r="A37" t="str">
        <x:v>销售员004</x:v>
      </x:c>
      <x:c r="B37" t="s">
        <x:v>123</x:v>
      </x:c>
      <x:c r="C37">
        <x:v>342</x:v>
      </x:c>
      <x:c r="D37">
        <x:v>2.077</x:v>
      </x:c>
    </x:row>
    <x:row r="38">
      <x:c r="A38" t="str">
        <x:v>销售员004</x:v>
      </x:c>
      <x:c r="B38" t="s">
        <x:v>99</x:v>
      </x:c>
      <x:c r="C38">
        <x:v>225</x:v>
      </x:c>
      <x:c r="D38">
        <x:v>1.639</x:v>
      </x:c>
    </x:row>
    <x:row r="39">
      <x:c r="A39" t="str">
        <x:v>销售员004</x:v>
      </x:c>
      <x:c r="B39" t="s">
        <x:v>100</x:v>
      </x:c>
      <x:c r="C39">
        <x:v>1122</x:v>
      </x:c>
      <x:c r="D39">
        <x:v>7.194</x:v>
      </x:c>
    </x:row>
    <x:row r="40">
      <x:c r="A40" t="str">
        <x:v>销售员004</x:v>
      </x:c>
      <x:c r="B40" t="s">
        <x:v>107</x:v>
      </x:c>
      <x:c r="C40">
        <x:v>15</x:v>
      </x:c>
      <x:c r="D40">
        <x:v>0.117</x:v>
      </x:c>
    </x:row>
    <x:row r="41">
      <x:c r="A41" t="str">
        <x:v>销售员004</x:v>
      </x:c>
      <x:c r="B41" t="s">
        <x:v>124</x:v>
      </x:c>
      <x:c r="C41">
        <x:v>205</x:v>
      </x:c>
      <x:c r="D41">
        <x:v>1.245</x:v>
      </x:c>
    </x:row>
    <x:row r="42">
      <x:c r="A42" t="str">
        <x:v>销售员004</x:v>
      </x:c>
      <x:c r="B42" t="s">
        <x:v>108</x:v>
      </x:c>
      <x:c r="C42">
        <x:v>29.9</x:v>
      </x:c>
      <x:c r="D42">
        <x:v>0.182</x:v>
      </x:c>
    </x:row>
    <x:row r="43">
      <x:c r="A43" t="str">
        <x:v>销售员004</x:v>
      </x:c>
      <x:c r="B43" t="s">
        <x:v>109</x:v>
      </x:c>
      <x:c r="C43">
        <x:v>70</x:v>
      </x:c>
      <x:c r="D43">
        <x:v>0.412</x:v>
      </x:c>
    </x:row>
    <x:row r="44">
      <x:c r="A44" t="str">
        <x:v>销售员004</x:v>
      </x:c>
      <x:c r="B44" t="s">
        <x:v>112</x:v>
      </x:c>
      <x:c r="C44">
        <x:v>5244</x:v>
      </x:c>
      <x:c r="D44">
        <x:v>38.21</x:v>
      </x:c>
    </x:row>
    <x:row r="45">
      <x:c r="A45" t="str">
        <x:v>销售员004</x:v>
      </x:c>
      <x:c r="B45" t="s">
        <x:v>113</x:v>
      </x:c>
      <x:c r="C45">
        <x:v>1.5</x:v>
      </x:c>
      <x:c r="D45">
        <x:v>0.009</x:v>
      </x:c>
    </x:row>
    <x:row r="46">
      <x:c r="A46" t="str">
        <x:v>销售员004</x:v>
      </x:c>
      <x:c r="B46" t="s">
        <x:v>117</x:v>
      </x:c>
      <x:c r="C46">
        <x:v>1.3</x:v>
      </x:c>
      <x:c r="D46">
        <x:v>0.008</x:v>
      </x:c>
    </x:row>
    <x:row r="47">
      <x:c r="A47" t="str">
        <x:v>销售员004</x:v>
      </x:c>
      <x:c r="B47" t="s">
        <x:v>114</x:v>
      </x:c>
      <x:c r="C47">
        <x:v>285</x:v>
      </x:c>
      <x:c r="D47">
        <x:v>2.077</x:v>
      </x:c>
    </x:row>
    <x:row r="48">
      <x:c r="A48" t="str">
        <x:v>销售员004</x:v>
      </x:c>
      <x:c r="B48" t="s">
        <x:v>115</x:v>
      </x:c>
      <x:c r="C48">
        <x:v>2725</x:v>
      </x:c>
      <x:c r="D48">
        <x:v>19.856</x:v>
      </x:c>
    </x:row>
    <x:row r="49">
      <x:c r="A49" t="str">
        <x:v>销售员004</x:v>
      </x:c>
      <x:c r="B49" t="s">
        <x:v>116</x:v>
      </x:c>
      <x:c r="C49">
        <x:v>121</x:v>
      </x:c>
      <x:c r="D49">
        <x:v>0.882</x:v>
      </x:c>
    </x:row>
    <x:row r="50">
      <x:c r="A50" t="str">
        <x:v>销售员004</x:v>
      </x:c>
      <x:c r="B50" t="s">
        <x:v>118</x:v>
      </x:c>
      <x:c r="C50">
        <x:v>13967.7</x:v>
      </x:c>
      <x:c r="D50">
        <x:v>84.812</x:v>
      </x:c>
    </x:row>
    <x:row r="51">
      <x:c r="A51" t="str">
        <x:v>销售员004</x:v>
      </x:c>
      <x:c r="B51" t="s">
        <x:v>125</x:v>
      </x:c>
      <x:c r="C51">
        <x:v>16</x:v>
      </x:c>
      <x:c r="D51">
        <x:v>0.128</x:v>
      </x:c>
    </x:row>
    <x:row r="52">
      <x:c r="A52" t="str">
        <x:v>销售员004</x:v>
      </x:c>
      <x:c r="B52" t="s">
        <x:v>119</x:v>
      </x:c>
      <x:c r="C52">
        <x:v>38.5</x:v>
      </x:c>
      <x:c r="D52">
        <x:v>0.234</x:v>
      </x:c>
    </x:row>
    <x:row r="53">
      <x:c r="A53" t="str">
        <x:v>销售员004</x:v>
      </x:c>
      <x:c r="B53" t="s">
        <x:v>126</x:v>
      </x:c>
      <x:c r="C53">
        <x:v>223</x:v>
      </x:c>
      <x:c r="D53">
        <x:v>1.327</x:v>
      </x:c>
    </x:row>
    <x:row r="54">
      <x:c r="A54"/>
      <x:c r="B54" t="s">
        <x:v>133</x:v>
      </x:c>
      <x:c r="C54">
        <x:v>51957</x:v>
      </x:c>
      <x:c r="D54">
        <x:v>327.538</x:v>
      </x:c>
    </x:row>
    <x:row r="55">
      <x:c r="A55"/>
      <x:c r="B55"/>
      <x:c r="C55"/>
      <x:c r="D55"/>
    </x:row>
    <x:row r="56">
      <x:c r="A56" t="s">
        <x:v>122</x:v>
      </x:c>
      <x:c r="B56"/>
      <x:c r="C56"/>
      <x:c r="D56"/>
    </x:row>
    <x:row r="57">
      <x:c r="A57" t="s">
        <x:v>3</x:v>
      </x:c>
      <x:c r="B57" t="s">
        <x:v>88</x:v>
      </x:c>
      <x:c r="C57" t="s">
        <x:v>89</x:v>
      </x:c>
      <x:c r="D57" t="s">
        <x:v>90</x:v>
      </x:c>
    </x:row>
    <x:row r="58">
      <x:c r="A58" t="str">
        <x:v>销售员004</x:v>
      </x:c>
      <x:c r="B58" t="s">
        <x:v>128</x:v>
      </x:c>
      <x:c r="C58">
        <x:v>262.4</x:v>
      </x:c>
      <x:c r="D58">
        <x:v>1.593</x:v>
      </x:c>
    </x:row>
    <x:row r="59">
      <x:c r="A59" t="str">
        <x:v>销售员004</x:v>
      </x:c>
      <x:c r="B59" t="s">
        <x:v>129</x:v>
      </x:c>
      <x:c r="C59">
        <x:v>85</x:v>
      </x:c>
      <x:c r="D59">
        <x:v>0.516</x:v>
      </x:c>
    </x:row>
    <x:row r="60">
      <x:c r="A60" t="str">
        <x:v>销售员004</x:v>
      </x:c>
      <x:c r="B60" t="s">
        <x:v>130</x:v>
      </x:c>
      <x:c r="C60">
        <x:v>29</x:v>
      </x:c>
      <x:c r="D60">
        <x:v>0.176</x:v>
      </x:c>
    </x:row>
    <x:row r="61">
      <x:c r="A61" t="str">
        <x:v>销售员004</x:v>
      </x:c>
      <x:c r="B61" t="s">
        <x:v>131</x:v>
      </x:c>
      <x:c r="C61">
        <x:v>192.9</x:v>
      </x:c>
      <x:c r="D61">
        <x:v>1.171</x:v>
      </x:c>
    </x:row>
    <x:row r="62">
      <x:c r="A62" t="str">
        <x:v>销售员004</x:v>
      </x:c>
      <x:c r="B62" t="s">
        <x:v>132</x:v>
      </x:c>
      <x:c r="C62">
        <x:v>83</x:v>
      </x:c>
      <x:c r="D62">
        <x:v>0.504</x:v>
      </x:c>
    </x:row>
    <x:row r="63">
      <x:c r="A63"/>
      <x:c r="B63" t="s">
        <x:v>133</x:v>
      </x:c>
      <x:c r="C63">
        <x:v>652.3</x:v>
      </x:c>
      <x:c r="D63">
        <x:v>3.96</x:v>
      </x:c>
    </x:row>
    <x:row r="64">
      <x:c r="A64"/>
      <x:c r="B64"/>
      <x:c r="C64"/>
      <x:c r="D64"/>
    </x:row>
    <x:row r="65">
      <x:c r="A65" t="s">
        <x:v>134</x:v>
      </x:c>
      <x:c r="B65"/>
      <x:c r="C65"/>
      <x:c r="D6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9.75" hidden="0" customWidth="1"/>
    <x:col min="3" max="3" width="8.5" hidden="0" customWidth="1"/>
    <x:col min="4" max="4" width="8.5" hidden="0" customWidth="1"/>
    <x:col min="5" max="5" width="8" hidden="0" customWidth="1"/>
    <x:col min="6" max="6" width="8.5" hidden="0" customWidth="1"/>
    <x:col min="7" max="7" width="8.5" hidden="0" customWidth="1"/>
    <x:col min="8" max="8" width="11.630000114440918" hidden="0" customWidth="1"/>
    <x:col min="9" max="9" width="17.1299991607666" hidden="0" customWidth="1"/>
    <x:col min="10" max="10" width="17.1299991607666" hidden="0" customWidth="1"/>
    <x:col min="11" max="11" width="4.25" hidden="0" customWidth="1"/>
    <x:col min="12" max="12" width="15.25" hidden="0" customWidth="1"/>
    <x:col min="13" max="13" width="17.1299991607666" hidden="0" customWidth="1"/>
    <x:col min="14" max="14" width="3.380000114440918" hidden="0" customWidth="1"/>
    <x:col min="15" max="15" width="1.5" hidden="0" customWidth="1"/>
    <x:col min="17" max="17" width="12" hidden="0" customWidth="1"/>
    <x:col min="18" max="18" width="15.25" hidden="0" customWidth="1"/>
    <x:col min="20" max="20" width="11.630000114440918" hidden="0" customWidth="1"/>
    <x:col min="21" max="21" width="15.25" hidden="0" customWidth="1"/>
  </x:cols>
  <x:sheetData>
    <x:row r="1">
      <x:c r="A1"/>
      <x:c r="B1" t="s">
        <x:v>54</x:v>
      </x:c>
      <x:c r="C1" t="s">
        <x:v>55</x:v>
      </x:c>
      <x:c r="D1" t="s">
        <x:v>135</x:v>
      </x:c>
      <x:c r="E1" t="s">
        <x:v>136</x:v>
      </x:c>
      <x:c r="F1" t="s">
        <x:v>135</x:v>
      </x:c>
      <x:c r="G1" t="s">
        <x:v>137</x:v>
      </x:c>
      <x:c r="H1" t="s">
        <x:v>138</x:v>
      </x:c>
      <x:c r="I1" t="s">
        <x:v>139</x:v>
      </x:c>
      <x:c r="J1" t="s">
        <x:v>140</x:v>
      </x:c>
      <x:c r="K1" t="s">
        <x:v>57</x:v>
      </x:c>
      <x:c r="L1" t="s">
        <x:v>141</x:v>
      </x:c>
      <x:c r="M1" t="s">
        <x:v>140</x:v>
      </x:c>
      <x:c r="N1"/>
      <x:c r="O1"/>
      <x:c r="P1"/>
      <x:c r="Q1" t="s">
        <x:v>142</x:v>
      </x:c>
      <x:c r="R1" t="s">
        <x:v>143</x:v>
      </x:c>
      <x:c r="S1"/>
      <x:c r="T1"/>
      <x:c r="U1"/>
      <x:c r="V1"/>
      <x:c r="W1"/>
      <x:c r="X1"/>
      <x:c r="Y1"/>
    </x:row>
    <x:row r="2">
      <x:c r="A2" t="str">
        <x:v>销售员003</x:v>
      </x:c>
      <x:c r="B2">
        <x:v>9271.8</x:v>
      </x:c>
      <x:c r="C2">
        <x:v>24402.3</x:v>
      </x:c>
      <x:c r="D2">
        <x:v>31706.5</x:v>
      </x:c>
      <x:c r="E2">
        <x:v>3666</x:v>
      </x:c>
      <x:c r="F2">
        <x:v>43746.6</x:v>
      </x:c>
      <x:c r="G2">
        <x:v>8142</x:v>
      </x:c>
      <x:c r="H2">
        <x:v>3951</x:v>
      </x:c>
      <x:c r="I2">
        <x:v>1465.7</x:v>
      </x:c>
      <x:c r="J2">
        <x:v>5438.7</x:v>
      </x:c>
      <x:c r="K2" t="n">
        <x:f>SUM(I2:J2)</x:f>
        <x:v>0</x:v>
      </x:c>
      <x:c r="L2">
        <x:v>17661.1</x:v>
      </x:c>
      <x:c r="M2"/>
      <x:c r="N2"/>
      <x:c r="O2"/>
      <x:c r="P2"/>
      <x:c r="Q2">
        <x:v>5776</x:v>
      </x:c>
      <x:c r="R2">
        <x:v>2869</x:v>
      </x:c>
      <x:c r="S2"/>
      <x:c r="T2"/>
      <x:c r="U2"/>
      <x:c r="V2"/>
      <x:c r="W2"/>
      <x:c r="X2"/>
      <x:c r="Y2"/>
    </x:row>
    <x:row r="3">
      <x:c r="A3" t="str">
        <x:v>销售员004</x:v>
      </x:c>
      <x:c r="B3">
        <x:v>10905.8</x:v>
      </x:c>
      <x:c r="C3">
        <x:v>15659.5</x:v>
      </x:c>
      <x:c r="D3">
        <x:v>28032.8</x:v>
      </x:c>
      <x:c r="E3">
        <x:v>3418.5</x:v>
      </x:c>
      <x:c r="F3">
        <x:v>38769.5</x:v>
      </x:c>
      <x:c r="G3">
        <x:v>8877.5</x:v>
      </x:c>
      <x:c r="H3">
        <x:v>3700.5</x:v>
      </x:c>
      <x:c r="I3">
        <x:v>1224.7</x:v>
      </x:c>
      <x:c r="J3">
        <x:v>6896</x:v>
      </x:c>
      <x:c r="K3" t="n">
        <x:f>SUM(I3:J3)</x:f>
        <x:v>0</x:v>
      </x:c>
      <x:c r="L3">
        <x:v>10844.9</x:v>
      </x:c>
      <x:c r="M3"/>
      <x:c r="N3"/>
      <x:c r="O3"/>
      <x:c r="P3"/>
      <x:c r="Q3">
        <x:v>6823.5</x:v>
      </x:c>
      <x:c r="R3">
        <x:v>2729.5</x:v>
      </x:c>
      <x:c r="S3"/>
      <x:c r="T3"/>
      <x:c r="U3"/>
      <x:c r="V3"/>
      <x:c r="W3"/>
      <x:c r="X3"/>
      <x:c r="Y3"/>
    </x:row>
    <x:row r="4">
      <x:c r="A4" t="str">
        <x:v>销售员002</x:v>
      </x:c>
      <x:c r="B4">
        <x:v>10008.5</x:v>
      </x:c>
      <x:c r="C4">
        <x:v>13278.7</x:v>
      </x:c>
      <x:c r="D4">
        <x:v>26505.2</x:v>
      </x:c>
      <x:c r="E4">
        <x:v>4252</x:v>
      </x:c>
      <x:c r="F4">
        <x:v>36996.8</x:v>
      </x:c>
      <x:c r="G4">
        <x:v>9147.1</x:v>
      </x:c>
      <x:c r="H4">
        <x:v>4507</x:v>
      </x:c>
      <x:c r="I4">
        <x:v>1567.5</x:v>
      </x:c>
      <x:c r="J4">
        <x:v>5741.3</x:v>
      </x:c>
      <x:c r="K4" t="n">
        <x:f>SUM(I4:J4)</x:f>
        <x:v>0</x:v>
      </x:c>
      <x:c r="L4">
        <x:v>9762.4</x:v>
      </x:c>
      <x:c r="M4"/>
      <x:c r="N4"/>
      <x:c r="O4"/>
      <x:c r="P4"/>
      <x:c r="Q4">
        <x:v>5484</x:v>
      </x:c>
      <x:c r="R4">
        <x:v>2482</x:v>
      </x:c>
      <x:c r="S4"/>
      <x:c r="T4"/>
      <x:c r="U4"/>
      <x:c r="V4"/>
      <x:c r="W4"/>
      <x:c r="X4"/>
      <x:c r="Y4"/>
    </x:row>
    <x:row r="5">
      <x:c r="A5" t="str">
        <x:v>销售员001</x:v>
      </x:c>
      <x:c r="B5">
        <x:v>19901.1</x:v>
      </x:c>
      <x:c r="C5">
        <x:v>12094.7</x:v>
      </x:c>
      <x:c r="D5">
        <x:v>31684.9</x:v>
      </x:c>
      <x:c r="E5">
        <x:v>2902</x:v>
      </x:c>
      <x:c r="F5">
        <x:v>43920.4</x:v>
      </x:c>
      <x:c r="G5">
        <x:v>10627.1</x:v>
      </x:c>
      <x:c r="H5">
        <x:v>3048</x:v>
      </x:c>
      <x:c r="I5">
        <x:v>2183.7</x:v>
      </x:c>
      <x:c r="J5">
        <x:v>10266.7</x:v>
      </x:c>
      <x:c r="K5" t="n">
        <x:f>SUM(I5:J5)</x:f>
        <x:v>0</x:v>
      </x:c>
      <x:c r="L5">
        <x:v>9850.4</x:v>
      </x:c>
      <x:c r="M5"/>
      <x:c r="N5"/>
      <x:c r="O5"/>
      <x:c r="P5"/>
      <x:c r="Q5">
        <x:v>7142</x:v>
      </x:c>
      <x:c r="R5">
        <x:v>2414</x:v>
      </x:c>
      <x:c r="S5"/>
      <x:c r="T5"/>
      <x:c r="U5"/>
      <x:c r="V5"/>
      <x:c r="W5"/>
      <x:c r="X5"/>
      <x:c r="Y5"/>
    </x:row>
    <x:row r="6">
      <x:c r="A6" t="str">
        <x:v>销售员009</x:v>
      </x:c>
      <x:c r="B6">
        <x:v>13089.4</x:v>
      </x:c>
      <x:c r="C6">
        <x:v>11843.6</x:v>
      </x:c>
      <x:c r="D6">
        <x:v>29539.1</x:v>
      </x:c>
      <x:c r="E6">
        <x:v>3287</x:v>
      </x:c>
      <x:c r="F6">
        <x:v>40846</x:v>
      </x:c>
      <x:c r="G6">
        <x:v>10671</x:v>
      </x:c>
      <x:c r="H6">
        <x:v>3469</x:v>
      </x:c>
      <x:c r="I6">
        <x:v>2280</x:v>
      </x:c>
      <x:c r="J6">
        <x:v>6978.2</x:v>
      </x:c>
      <x:c r="K6" t="n">
        <x:f>SUM(I6:J6)</x:f>
        <x:v>0</x:v>
      </x:c>
      <x:c r="L6">
        <x:v>8475.4</x:v>
      </x:c>
      <x:c r="M6"/>
      <x:c r="N6"/>
      <x:c r="O6"/>
      <x:c r="P6"/>
      <x:c r="Q6">
        <x:v>8251</x:v>
      </x:c>
      <x:c r="R6">
        <x:v>2621</x:v>
      </x:c>
      <x:c r="S6"/>
      <x:c r="T6"/>
      <x:c r="U6"/>
      <x:c r="V6"/>
      <x:c r="W6"/>
      <x:c r="X6"/>
      <x:c r="Y6"/>
    </x:row>
    <x:row r="7">
      <x:c r="A7" t="str">
        <x:v>销售员006</x:v>
      </x:c>
      <x:c r="B7">
        <x:v>36</x:v>
      </x:c>
      <x:c r="C7">
        <x:v>261</x:v>
      </x:c>
      <x:c r="D7">
        <x:v>13258.3</x:v>
      </x:c>
      <x:c r="E7">
        <x:v>14074</x:v>
      </x:c>
      <x:c r="F7">
        <x:v>17926.9</x:v>
      </x:c>
      <x:c r="G7">
        <x:v>17629.9</x:v>
      </x:c>
      <x:c r="H7">
        <x:v>16280.9</x:v>
      </x:c>
      <x:c r="I7"/>
      <x:c r="J7"/>
      <x:c r="K7"/>
      <x:c r="L7">
        <x:v>129</x:v>
      </x:c>
      <x:c r="M7"/>
      <x:c r="N7"/>
      <x:c r="O7"/>
      <x:c r="P7"/>
      <x:c r="Q7">
        <x:v>11588.8</x:v>
      </x:c>
      <x:c r="R7">
        <x:v>12402.3</x:v>
      </x:c>
      <x:c r="S7"/>
      <x:c r="T7"/>
      <x:c r="U7"/>
      <x:c r="V7"/>
      <x:c r="W7"/>
      <x:c r="X7"/>
      <x:c r="Y7"/>
    </x:row>
    <x:row r="8">
      <x:c r="A8" t="str">
        <x:v>销售员005</x:v>
      </x:c>
      <x:c r="B8">
        <x:v>14</x:v>
      </x:c>
      <x:c r="C8">
        <x:v>137.2</x:v>
      </x:c>
      <x:c r="D8">
        <x:v>14732.7</x:v>
      </x:c>
      <x:c r="E8">
        <x:v>14952.8</x:v>
      </x:c>
      <x:c r="F8">
        <x:v>20050.4</x:v>
      </x:c>
      <x:c r="G8">
        <x:v>19934.2</x:v>
      </x:c>
      <x:c r="H8">
        <x:v>19188.7</x:v>
      </x:c>
      <x:c r="I8"/>
      <x:c r="J8"/>
      <x:c r="K8"/>
      <x:c r="L8">
        <x:v>60.7</x:v>
      </x:c>
      <x:c r="M8"/>
      <x:c r="N8"/>
      <x:c r="O8"/>
      <x:c r="P8"/>
      <x:c r="Q8">
        <x:v>12610.5</x:v>
      </x:c>
      <x:c r="R8">
        <x:v>14003.5</x:v>
      </x:c>
      <x:c r="S8"/>
      <x:c r="T8"/>
      <x:c r="U8"/>
      <x:c r="V8"/>
      <x:c r="W8"/>
      <x:c r="X8"/>
      <x:c r="Y8"/>
    </x:row>
    <x:row r="9">
      <x:c r="A9" t="str">
        <x:v>销售员011</x:v>
      </x:c>
      <x:c r="B9" t="n">
        <x:f>B4*0.47</x:f>
        <x:v>4703.995</x:v>
      </x:c>
      <x:c r="C9" t="n">
        <x:f>C4*0.47</x:f>
        <x:v>6240.989</x:v>
      </x:c>
      <x:c r="D9" t="n">
        <x:f>D4*0.47</x:f>
        <x:v>12457.444</x:v>
      </x:c>
      <x:c r="E9" t="n">
        <x:f>E4*0.47</x:f>
        <x:v>1998.4399999999998</x:v>
      </x:c>
      <x:c r="F9" t="n">
        <x:f>F4*0.47</x:f>
        <x:v>17388.496</x:v>
      </x:c>
      <x:c r="G9" t="n">
        <x:f>G4*0.47</x:f>
        <x:v>4299.137</x:v>
      </x:c>
      <x:c r="H9" t="n">
        <x:f>H4*0.47</x:f>
        <x:v>2118.29</x:v>
      </x:c>
      <x:c r="I9"/>
      <x:c r="J9"/>
      <x:c r="K9"/>
      <x:c r="L9" t="n">
        <x:f>L4*0.47</x:f>
        <x:v>4588.3279999999995</x:v>
      </x:c>
      <x:c r="M9" t="n">
        <x:f>M4*0.47</x:f>
        <x:v>0</x:v>
      </x:c>
      <x:c r="N9" t="n">
        <x:f>N4*0.47</x:f>
        <x:v>0</x:v>
      </x:c>
      <x:c r="O9" t="n">
        <x:f>O4*0.47</x:f>
        <x:v>0</x:v>
      </x:c>
      <x:c r="P9"/>
      <x:c r="Q9"/>
      <x:c r="R9"/>
      <x:c r="S9"/>
      <x:c r="T9"/>
      <x:c r="U9"/>
      <x:c r="V9"/>
      <x:c r="W9"/>
      <x:c r="X9"/>
      <x:c r="Y9"/>
    </x:row>
    <x:row r="10">
      <x:c r="A10" t="str">
        <x:v>销售员012</x:v>
      </x:c>
      <x:c r="B10" t="n">
        <x:f>B4*0.53</x:f>
        <x:v>5304.505</x:v>
      </x:c>
      <x:c r="C10" t="n">
        <x:f>C4*0.53</x:f>
        <x:v>7037.711000000001</x:v>
      </x:c>
      <x:c r="D10" t="n">
        <x:f>D4*0.53</x:f>
        <x:v>14047.756000000001</x:v>
      </x:c>
      <x:c r="E10" t="n">
        <x:f>E4*0.53</x:f>
        <x:v>2253.56</x:v>
      </x:c>
      <x:c r="F10" t="n">
        <x:f>F4*0.53</x:f>
        <x:v>19608.304000000004</x:v>
      </x:c>
      <x:c r="G10" t="n">
        <x:f>G4*0.53</x:f>
        <x:v>4847.963000000001</x:v>
      </x:c>
      <x:c r="H10" t="n">
        <x:f>H4*0.53</x:f>
        <x:v>2388.71</x:v>
      </x:c>
      <x:c r="I10"/>
      <x:c r="J10"/>
      <x:c r="K10"/>
      <x:c r="L10" t="n">
        <x:f>L4*0.53</x:f>
        <x:v>5174.072</x:v>
      </x:c>
      <x:c r="M10" t="n">
        <x:f>M4*0.53</x:f>
        <x:v>0</x:v>
      </x:c>
      <x:c r="N10" t="n">
        <x:f>N4*0.53</x:f>
        <x:v>0</x:v>
      </x:c>
      <x:c r="O10" t="n">
        <x:f>O4*0.53</x:f>
        <x:v>0</x:v>
      </x:c>
      <x:c r="P10"/>
      <x:c r="Q10"/>
      <x:c r="R10"/>
      <x:c r="S10"/>
      <x:c r="T10"/>
      <x:c r="U10"/>
      <x:c r="V10"/>
      <x:c r="W10"/>
      <x:c r="X10"/>
      <x:c r="Y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</x:row>
    <x:row r="12">
      <x:c r="A12" t="s">
        <x:v>58</x:v>
      </x:c>
      <x:c r="B12" t="s">
        <x:v>54</x:v>
      </x:c>
      <x:c r="C12" t="s">
        <x:v>55</x:v>
      </x:c>
      <x:c r="D12" t="s">
        <x:v>135</x:v>
      </x:c>
      <x:c r="E12" t="s">
        <x:v>136</x:v>
      </x:c>
      <x:c r="F12" t="s">
        <x:v>135</x:v>
      </x:c>
      <x:c r="G12" t="s">
        <x:v>137</x:v>
      </x:c>
      <x:c r="H12"/>
      <x:c r="I12" t="s">
        <x:v>144</x:v>
      </x:c>
      <x:c r="J12" t="s">
        <x:v>140</x:v>
      </x:c>
      <x:c r="K12"/>
      <x:c r="L12"/>
      <x:c r="M12" t="s">
        <x:v>60</x:v>
      </x:c>
      <x:c r="N12"/>
      <x:c r="O12"/>
      <x:c r="P12"/>
      <x:c r="Q12" t="s">
        <x:v>145</x:v>
      </x:c>
      <x:c r="R12" t="s">
        <x:v>143</x:v>
      </x:c>
      <x:c r="S12"/>
      <x:c r="T12" t="s">
        <x:v>146</x:v>
      </x:c>
      <x:c r="U12" t="s">
        <x:v>147</x:v>
      </x:c>
      <x:c r="V12"/>
      <x:c r="W12"/>
      <x:c r="X12"/>
      <x:c r="Y12"/>
    </x:row>
    <x:row r="13">
      <x:c r="A13" t="str">
        <x:v>销售员003</x:v>
      </x:c>
      <x:c r="B13" t="str">
        <x:f>B6</x:f>
        <x:v>13089.4</x:v>
      </x:c>
      <x:c r="C13" t="str">
        <x:f>C6</x:f>
        <x:v>11843.6</x:v>
      </x:c>
      <x:c r="D13" t="str">
        <x:f>D6</x:f>
        <x:v>29539.1</x:v>
      </x:c>
      <x:c r="E13" t="str">
        <x:f>E6</x:f>
        <x:v>3287</x:v>
      </x:c>
      <x:c r="F13" t="str">
        <x:f>F6</x:f>
        <x:v>40846</x:v>
      </x:c>
      <x:c r="G13" t="str">
        <x:f>G6</x:f>
        <x:v>10671</x:v>
      </x:c>
      <x:c r="H13" t="str">
        <x:f>H6</x:f>
        <x:v>3469</x:v>
      </x:c>
      <x:c r="I13">
        <x:v>1465.7</x:v>
      </x:c>
      <x:c r="J13"/>
      <x:c r="K13"/>
      <x:c r="L13">
        <x:v>23</x:v>
      </x:c>
      <x:c r="M13">
        <x:v>15338.1</x:v>
      </x:c>
      <x:c r="N13"/>
      <x:c r="O13" t="n">
        <x:f>SUM(L13:N13)</x:f>
        <x:v>0</x:v>
      </x:c>
      <x:c r="P13"/>
      <x:c r="Q13" t="str">
        <x:f>Q6</x:f>
        <x:v>8251</x:v>
      </x:c>
      <x:c r="R13" t="str">
        <x:f>R6</x:f>
        <x:v>2621</x:v>
      </x:c>
      <x:c r="S13"/>
      <x:c r="T13">
        <x:v>7624</x:v>
      </x:c>
      <x:c r="U13">
        <x:v>3496</x:v>
      </x:c>
      <x:c r="V13"/>
      <x:c r="W13"/>
      <x:c r="X13"/>
      <x:c r="Y13"/>
    </x:row>
    <x:row r="14">
      <x:c r="A14" t="str">
        <x:v>销售员004</x:v>
      </x:c>
      <x:c r="B14" t="n">
        <x:f>B3+B9</x:f>
        <x:v>15609.794999999998</x:v>
      </x:c>
      <x:c r="C14" t="n">
        <x:f>C3+C9</x:f>
        <x:v>21900.489</x:v>
      </x:c>
      <x:c r="D14" t="n">
        <x:f>D3+D9</x:f>
        <x:v>40490.244</x:v>
      </x:c>
      <x:c r="E14" t="n">
        <x:f>E3+E9</x:f>
        <x:v>5416.94</x:v>
      </x:c>
      <x:c r="F14" t="n">
        <x:f>F3+F9</x:f>
        <x:v>56157.996</x:v>
      </x:c>
      <x:c r="G14" t="n">
        <x:f>G3+G9</x:f>
        <x:v>13176.636999999999</x:v>
      </x:c>
      <x:c r="H14" t="n">
        <x:f>H3+H9</x:f>
        <x:v>5818.79</x:v>
      </x:c>
      <x:c r="I14">
        <x:v>1224.7</x:v>
      </x:c>
      <x:c r="J14"/>
      <x:c r="K14"/>
      <x:c r="L14">
        <x:v>316</x:v>
      </x:c>
      <x:c r="M14">
        <x:v>17370.7</x:v>
      </x:c>
      <x:c r="N14">
        <x:v>140</x:v>
      </x:c>
      <x:c r="O14" t="n">
        <x:f>SUM(L14:N14)</x:f>
        <x:v>0</x:v>
      </x:c>
      <x:c r="P14"/>
      <x:c r="Q14" t="n">
        <x:f>Q3+Q9</x:f>
        <x:v>6823.5</x:v>
      </x:c>
      <x:c r="R14" t="n">
        <x:f>R3+R9</x:f>
        <x:v>2729.5</x:v>
      </x:c>
      <x:c r="S14"/>
      <x:c r="T14">
        <x:v>6556</x:v>
      </x:c>
      <x:c r="U14">
        <x:v>2595.5</x:v>
      </x:c>
      <x:c r="V14"/>
      <x:c r="W14"/>
      <x:c r="X14"/>
      <x:c r="Y14"/>
    </x:row>
    <x:row r="15">
      <x:c r="A15" t="str">
        <x:v>销售员002</x:v>
      </x:c>
      <x:c r="B15" t="n">
        <x:f>B2+B10</x:f>
        <x:v>14576.305</x:v>
      </x:c>
      <x:c r="C15" t="n">
        <x:f>C2+C10</x:f>
        <x:v>31440.011</x:v>
      </x:c>
      <x:c r="D15" t="n">
        <x:f>D2+D10</x:f>
        <x:v>45754.256</x:v>
      </x:c>
      <x:c r="E15" t="n">
        <x:f>E2+E10</x:f>
        <x:v>5919.5599999999995</x:v>
      </x:c>
      <x:c r="F15" t="n">
        <x:f>F2+F10</x:f>
        <x:v>63354.904</x:v>
      </x:c>
      <x:c r="G15" t="n">
        <x:f>G2+G10</x:f>
        <x:v>12989.963</x:v>
      </x:c>
      <x:c r="H15" t="n">
        <x:f>H2+H10</x:f>
        <x:v>6339.71</x:v>
      </x:c>
      <x:c r="I15">
        <x:v>1567.5</x:v>
      </x:c>
      <x:c r="J15"/>
      <x:c r="K15"/>
      <x:c r="L15">
        <x:v>46</x:v>
      </x:c>
      <x:c r="M15">
        <x:v>26419.2</x:v>
      </x:c>
      <x:c r="N15"/>
      <x:c r="O15" t="n">
        <x:f>SUM(L15:N15)</x:f>
        <x:v>0</x:v>
      </x:c>
      <x:c r="P15"/>
      <x:c r="Q15" t="n">
        <x:f>Q2+Q10</x:f>
        <x:v>5776</x:v>
      </x:c>
      <x:c r="R15" t="n">
        <x:f>R2+R10</x:f>
        <x:v>2869</x:v>
      </x:c>
      <x:c r="S15"/>
      <x:c r="T15">
        <x:v>6676.5</x:v>
      </x:c>
      <x:c r="U15">
        <x:v>2470.5</x:v>
      </x:c>
      <x:c r="V15"/>
      <x:c r="W15"/>
      <x:c r="X15"/>
      <x:c r="Y15"/>
    </x:row>
    <x:row r="16">
      <x:c r="A16" t="str">
        <x:v>销售员001</x:v>
      </x:c>
      <x:c r="B16" t="str">
        <x:f>B5</x:f>
        <x:v>19901.1</x:v>
      </x:c>
      <x:c r="C16" t="str">
        <x:f>C5</x:f>
        <x:v>12094.7</x:v>
      </x:c>
      <x:c r="D16" t="str">
        <x:f>D5</x:f>
        <x:v>31684.9</x:v>
      </x:c>
      <x:c r="E16" t="str">
        <x:f>E5</x:f>
        <x:v>2902</x:v>
      </x:c>
      <x:c r="F16" t="str">
        <x:f>F5</x:f>
        <x:v>43920.4</x:v>
      </x:c>
      <x:c r="G16" t="str">
        <x:f>G5</x:f>
        <x:v>10627.1</x:v>
      </x:c>
      <x:c r="H16" t="str">
        <x:f>H5</x:f>
        <x:v>3048</x:v>
      </x:c>
      <x:c r="I16">
        <x:v>2183.7</x:v>
      </x:c>
      <x:c r="J16"/>
      <x:c r="K16"/>
      <x:c r="L16"/>
      <x:c r="M16">
        <x:v>12051.7</x:v>
      </x:c>
      <x:c r="N16"/>
      <x:c r="O16" t="n">
        <x:f>SUM(L16:N16)</x:f>
        <x:v>0</x:v>
      </x:c>
      <x:c r="P16"/>
      <x:c r="Q16" t="str">
        <x:f>Q5</x:f>
        <x:v>7142</x:v>
      </x:c>
      <x:c r="R16" t="str">
        <x:f>R5</x:f>
        <x:v>2414</x:v>
      </x:c>
      <x:c r="S16"/>
      <x:c r="T16">
        <x:v>8850.5</x:v>
      </x:c>
      <x:c r="U16">
        <x:v>2267.5</x:v>
      </x:c>
      <x:c r="V16"/>
      <x:c r="W16"/>
      <x:c r="X16"/>
      <x:c r="Y16"/>
    </x:row>
    <x:row r="17">
      <x:c r="A17" t="str">
        <x:v>销售员006</x:v>
      </x:c>
      <x:c r="B17" t="str">
        <x:f>B7</x:f>
        <x:v>36</x:v>
      </x:c>
      <x:c r="C17" t="str">
        <x:f>C7</x:f>
        <x:v>261</x:v>
      </x:c>
      <x:c r="D17" t="str">
        <x:f>D7</x:f>
        <x:v>13258.3</x:v>
      </x:c>
      <x:c r="E17" t="str">
        <x:f>E7</x:f>
        <x:v>14074</x:v>
      </x:c>
      <x:c r="F17" t="str">
        <x:f>F7</x:f>
        <x:v>17926.9</x:v>
      </x:c>
      <x:c r="G17" t="str">
        <x:f>G7</x:f>
        <x:v>17629.9</x:v>
      </x:c>
      <x:c r="H17" t="str">
        <x:f>H7</x:f>
        <x:v>16280.9</x:v>
      </x:c>
      <x:c r="I17">
        <x:v>2280</x:v>
      </x:c>
      <x:c r="J17"/>
      <x:c r="K17"/>
      <x:c r="L17"/>
      <x:c r="M17">
        <x:v>278</x:v>
      </x:c>
      <x:c r="N17">
        <x:v>125</x:v>
      </x:c>
      <x:c r="O17" t="n">
        <x:f>SUM(L17:N17)</x:f>
        <x:v>0</x:v>
      </x:c>
      <x:c r="P17"/>
      <x:c r="Q17" t="str">
        <x:f>Q7</x:f>
        <x:v>11588.8</x:v>
      </x:c>
      <x:c r="R17" t="str">
        <x:f>R7</x:f>
        <x:v>12402.3</x:v>
      </x:c>
      <x:c r="S17"/>
      <x:c r="T17">
        <x:v>13438.2</x:v>
      </x:c>
      <x:c r="U17">
        <x:v>11697.5</x:v>
      </x:c>
      <x:c r="V17"/>
      <x:c r="W17"/>
      <x:c r="X17"/>
      <x:c r="Y17"/>
    </x:row>
    <x:row r="18">
      <x:c r="A18" t="str">
        <x:v>销售员005</x:v>
      </x:c>
      <x:c r="B18" t="str">
        <x:f>B8</x:f>
        <x:v>14</x:v>
      </x:c>
      <x:c r="C18" t="str">
        <x:f>C8</x:f>
        <x:v>137.2</x:v>
      </x:c>
      <x:c r="D18" t="str">
        <x:f>D8</x:f>
        <x:v>14732.7</x:v>
      </x:c>
      <x:c r="E18" t="str">
        <x:f>E8</x:f>
        <x:v>14952.8</x:v>
      </x:c>
      <x:c r="F18" t="str">
        <x:f>F8</x:f>
        <x:v>20050.4</x:v>
      </x:c>
      <x:c r="G18" t="str">
        <x:f>G8</x:f>
        <x:v>19934.2</x:v>
      </x:c>
      <x:c r="H18" t="str">
        <x:f>H8</x:f>
        <x:v>19188.7</x:v>
      </x:c>
      <x:c r="I18"/>
      <x:c r="J18"/>
      <x:c r="K18"/>
      <x:c r="L18">
        <x:v>102</x:v>
      </x:c>
      <x:c r="M18">
        <x:v>794.8</x:v>
      </x:c>
      <x:c r="N18"/>
      <x:c r="O18" t="n">
        <x:f>SUM(L18:N18)</x:f>
        <x:v>0</x:v>
      </x:c>
      <x:c r="P18"/>
      <x:c r="Q18" t="str">
        <x:f>Q8</x:f>
        <x:v>12610.5</x:v>
      </x:c>
      <x:c r="R18" t="str">
        <x:f>R8</x:f>
        <x:v>14003.5</x:v>
      </x:c>
      <x:c r="S18"/>
      <x:c r="T18">
        <x:v>16700.8</x:v>
      </x:c>
      <x:c r="U18">
        <x:v>15421.8</x:v>
      </x:c>
      <x:c r="V18"/>
      <x:c r="W18"/>
      <x:c r="X18"/>
      <x:c r="Y1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7.880000114440918" hidden="0" customWidth="1"/>
    <x:col min="4" max="4" width="7.880000114440918" hidden="0" customWidth="1"/>
    <x:col min="5" max="5" width="7.880000114440918" hidden="0" customWidth="1"/>
    <x:col min="6" max="6" width="7.880000114440918" hidden="0" customWidth="1"/>
    <x:col min="7" max="7" width="34.880001068115234" hidden="0" customWidth="1"/>
    <x:col min="8" max="8" width="6" hidden="0" customWidth="1"/>
  </x:cols>
  <x:sheetData>
    <x:row r="1">
      <x:c r="A1" t="s">
        <x:v>148</x:v>
      </x:c>
      <x:c r="B1" t="s">
        <x:v>3</x:v>
      </x:c>
      <x:c r="C1" t="s">
        <x:v>149</x:v>
      </x:c>
      <x:c r="D1" t="s">
        <x:v>150</x:v>
      </x:c>
      <x:c r="E1" t="s">
        <x:v>151</x:v>
      </x:c>
      <x:c r="F1" t="s">
        <x:v>152</x:v>
      </x:c>
      <x:c r="G1" t="s">
        <x:v>153</x:v>
      </x:c>
      <x:c r="H1" t="s">
        <x:v>154</x:v>
      </x:c>
    </x:row>
    <x:row r="2">
      <x:c r="A2">
        <x:v>1</x:v>
      </x:c>
      <x:c r="B2" t="str">
        <x:v>销售员004</x:v>
      </x:c>
      <x:c r="C2" t="str">
        <x:v>终端001</x:v>
      </x:c>
      <x:c r="D2" t="str">
        <x:v>区域001</x:v>
      </x:c>
      <x:c r="E2">
        <x:v>160</x:v>
      </x:c>
      <x:c r="F2" t="s">
        <x:v>155</x:v>
      </x:c>
      <x:c r="G2" t="s">
        <x:v>156</x:v>
      </x:c>
      <x:c r="H2" t="s">
        <x:v>157</x:v>
      </x:c>
    </x:row>
    <x:row r="3">
      <x:c r="A3">
        <x:v>2</x:v>
      </x:c>
      <x:c r="B3" t="str">
        <x:v>销售员006</x:v>
      </x:c>
      <x:c r="C3" t="str">
        <x:v>终端002</x:v>
      </x:c>
      <x:c r="D3" t="str">
        <x:v>区域002</x:v>
      </x:c>
      <x:c r="E3">
        <x:v>200</x:v>
      </x:c>
      <x:c r="F3" t="s">
        <x:v>155</x:v>
      </x:c>
      <x:c r="G3" t="s">
        <x:v>158</x:v>
      </x:c>
      <x:c r="H3" t="s">
        <x:v>157</x:v>
      </x:c>
    </x:row>
    <x:row r="4">
      <x:c r="A4">
        <x:v>3</x:v>
      </x:c>
      <x:c r="B4" t="str">
        <x:v>销售员006</x:v>
      </x:c>
      <x:c r="C4" t="str">
        <x:v>终端003</x:v>
      </x:c>
      <x:c r="D4" t="str">
        <x:v>区域002</x:v>
      </x:c>
      <x:c r="E4">
        <x:v>140</x:v>
      </x:c>
      <x:c r="F4" t="s">
        <x:v>155</x:v>
      </x:c>
      <x:c r="G4" t="s">
        <x:v>81</x:v>
      </x:c>
      <x:c r="H4" t="s">
        <x:v>159</x:v>
      </x:c>
    </x:row>
    <x:row r="5">
      <x:c r="A5">
        <x:v>4</x:v>
      </x:c>
      <x:c r="B5" t="str">
        <x:v>销售员005</x:v>
      </x:c>
      <x:c r="C5" t="str">
        <x:v>终端004</x:v>
      </x:c>
      <x:c r="D5" t="str">
        <x:v>区域001</x:v>
      </x:c>
      <x:c r="E5">
        <x:v>100</x:v>
      </x:c>
      <x:c r="F5" t="s">
        <x:v>155</x:v>
      </x:c>
      <x:c r="G5" t="s">
        <x:v>160</x:v>
      </x:c>
      <x:c r="H5" t="s">
        <x:v>159</x:v>
      </x:c>
    </x:row>
    <x:row r="6">
      <x:c r="A6">
        <x:v>5</x:v>
      </x:c>
      <x:c r="B6" t="str">
        <x:v>销售员005</x:v>
      </x:c>
      <x:c r="C6" t="str">
        <x:v>终端005</x:v>
      </x:c>
      <x:c r="D6" t="str">
        <x:v>区域001</x:v>
      </x:c>
      <x:c r="E6">
        <x:v>100</x:v>
      </x:c>
      <x:c r="F6" t="s">
        <x:v>155</x:v>
      </x:c>
      <x:c r="G6" t="s">
        <x:v>161</x:v>
      </x:c>
      <x:c r="H6" t="s">
        <x:v>159</x:v>
      </x:c>
    </x:row>
    <x:row r="7">
      <x:c r="A7">
        <x:v>6</x:v>
      </x:c>
      <x:c r="B7" t="str">
        <x:v>销售员005</x:v>
      </x:c>
      <x:c r="C7" t="str">
        <x:v>终端006</x:v>
      </x:c>
      <x:c r="D7" t="str">
        <x:v>区域001</x:v>
      </x:c>
      <x:c r="E7">
        <x:v>200</x:v>
      </x:c>
      <x:c r="F7" t="s">
        <x:v>155</x:v>
      </x:c>
      <x:c r="G7" t="s">
        <x:v>162</x:v>
      </x:c>
      <x:c r="H7" t="s">
        <x:v>157</x:v>
      </x:c>
    </x:row>
    <x:row r="8">
      <x:c r="A8">
        <x:v>7</x:v>
      </x:c>
      <x:c r="B8" t="str">
        <x:v>销售员005</x:v>
      </x:c>
      <x:c r="C8" t="str">
        <x:v>终端007</x:v>
      </x:c>
      <x:c r="D8" t="str">
        <x:v>区域001</x:v>
      </x:c>
      <x:c r="E8">
        <x:v>160</x:v>
      </x:c>
      <x:c r="F8" t="s">
        <x:v>155</x:v>
      </x:c>
      <x:c r="G8" t="s">
        <x:v>163</x:v>
      </x:c>
      <x:c r="H8" t="s">
        <x:v>157</x:v>
      </x:c>
    </x:row>
    <x:row r="9">
      <x:c r="A9">
        <x:v>8</x:v>
      </x:c>
      <x:c r="B9" t="str">
        <x:v>销售员004</x:v>
      </x:c>
      <x:c r="C9" t="str">
        <x:v>终端008</x:v>
      </x:c>
      <x:c r="D9" t="str">
        <x:v>区域001</x:v>
      </x:c>
      <x:c r="E9">
        <x:v>100</x:v>
      </x:c>
      <x:c r="F9" t="s">
        <x:v>155</x:v>
      </x:c>
      <x:c r="G9" t="s">
        <x:v>164</x:v>
      </x:c>
      <x:c r="H9" t="s">
        <x:v>165</x:v>
      </x:c>
    </x:row>
    <x:row r="10">
      <x:c r="A10">
        <x:v>9</x:v>
      </x:c>
      <x:c r="B10" t="str">
        <x:v>销售员006</x:v>
      </x:c>
      <x:c r="C10" t="str">
        <x:v>终端009</x:v>
      </x:c>
      <x:c r="D10" t="str">
        <x:v>区域002</x:v>
      </x:c>
      <x:c r="E10">
        <x:v>100</x:v>
      </x:c>
      <x:c r="F10" t="s">
        <x:v>155</x:v>
      </x:c>
      <x:c r="G10" t="s">
        <x:v>166</x:v>
      </x:c>
      <x:c r="H10" t="s">
        <x:v>165</x:v>
      </x:c>
    </x:row>
    <x:row r="11">
      <x:c r="A11">
        <x:v>10</x:v>
      </x:c>
      <x:c r="B11" t="str">
        <x:v>销售员006</x:v>
      </x:c>
      <x:c r="C11" t="str">
        <x:v>终端010</x:v>
      </x:c>
      <x:c r="D11" t="str">
        <x:v>区域002</x:v>
      </x:c>
      <x:c r="E11">
        <x:v>120</x:v>
      </x:c>
      <x:c r="F11" t="s">
        <x:v>155</x:v>
      </x:c>
      <x:c r="G11" t="s">
        <x:v>167</x:v>
      </x:c>
      <x:c r="H11" t="s">
        <x:v>165</x:v>
      </x:c>
    </x:row>
    <x:row r="12">
      <x:c r="A12">
        <x:v>11</x:v>
      </x:c>
      <x:c r="B12" t="str">
        <x:v>销售员005</x:v>
      </x:c>
      <x:c r="C12" t="str">
        <x:v>终端011</x:v>
      </x:c>
      <x:c r="D12" t="str">
        <x:v>区域001</x:v>
      </x:c>
      <x:c r="E12">
        <x:v>80</x:v>
      </x:c>
      <x:c r="F12" t="s">
        <x:v>155</x:v>
      </x:c>
      <x:c r="G12" t="s">
        <x:v>166</x:v>
      </x:c>
      <x:c r="H12" t="s">
        <x:v>165</x:v>
      </x:c>
    </x:row>
    <x:row r="13">
      <x:c r="A13">
        <x:v>1</x:v>
      </x:c>
      <x:c r="B13" t="str">
        <x:v>销售员006</x:v>
      </x:c>
      <x:c r="C13" t="str">
        <x:v>终端012</x:v>
      </x:c>
      <x:c r="D13" t="str">
        <x:v>区域002</x:v>
      </x:c>
      <x:c r="E13">
        <x:v>160</x:v>
      </x:c>
      <x:c r="F13" t="s">
        <x:v>168</x:v>
      </x:c>
      <x:c r="G13" t="s">
        <x:v>163</x:v>
      </x:c>
      <x:c r="H13" t="s">
        <x:v>157</x:v>
      </x:c>
    </x:row>
    <x:row r="14">
      <x:c r="A14">
        <x:v>2</x:v>
      </x:c>
      <x:c r="B14" t="str">
        <x:v>销售员006</x:v>
      </x:c>
      <x:c r="C14" t="str">
        <x:v>终端013</x:v>
      </x:c>
      <x:c r="D14" t="str">
        <x:v>区域003</x:v>
      </x:c>
      <x:c r="E14">
        <x:v>160</x:v>
      </x:c>
      <x:c r="F14" t="s">
        <x:v>168</x:v>
      </x:c>
      <x:c r="G14" t="s">
        <x:v>163</x:v>
      </x:c>
      <x:c r="H14" t="s">
        <x:v>157</x:v>
      </x:c>
    </x:row>
    <x:row r="15">
      <x:c r="A15">
        <x:v>3</x:v>
      </x:c>
      <x:c r="B15" t="str">
        <x:v>销售员006</x:v>
      </x:c>
      <x:c r="C15" t="str">
        <x:v>终端014</x:v>
      </x:c>
      <x:c r="D15" t="str">
        <x:v>区域004</x:v>
      </x:c>
      <x:c r="E15">
        <x:v>200</x:v>
      </x:c>
      <x:c r="F15" t="s">
        <x:v>168</x:v>
      </x:c>
      <x:c r="G15" t="s">
        <x:v>163</x:v>
      </x:c>
      <x:c r="H15" t="s">
        <x:v>157</x:v>
      </x:c>
    </x:row>
    <x:row r="16">
      <x:c r="A16" t="s">
        <x:v>148</x:v>
      </x:c>
      <x:c r="B16" t="s">
        <x:v>3</x:v>
      </x:c>
      <x:c r="C16" t="s">
        <x:v>149</x:v>
      </x:c>
      <x:c r="D16" t="s">
        <x:v>150</x:v>
      </x:c>
      <x:c r="E16" t="s">
        <x:v>151</x:v>
      </x:c>
      <x:c r="F16" t="s">
        <x:v>152</x:v>
      </x:c>
      <x:c r="G16" t="s">
        <x:v>153</x:v>
      </x:c>
      <x:c r="H16" t="s">
        <x:v>154</x:v>
      </x:c>
    </x:row>
    <x:row r="17">
      <x:c r="A17">
        <x:v>1</x:v>
      </x:c>
      <x:c r="B17" t="str">
        <x:v>销售员003</x:v>
      </x:c>
      <x:c r="C17" t="str">
        <x:v>终端015</x:v>
      </x:c>
      <x:c r="D17" t="str">
        <x:v>区域005</x:v>
      </x:c>
      <x:c r="E17">
        <x:v>80</x:v>
      </x:c>
      <x:c r="F17" t="s">
        <x:v>169</x:v>
      </x:c>
      <x:c r="G17" t="s">
        <x:v>170</x:v>
      </x:c>
      <x:c r="H17" t="s">
        <x:v>157</x:v>
      </x:c>
    </x:row>
    <x:row r="18">
      <x:c r="A18">
        <x:v>2</x:v>
      </x:c>
      <x:c r="B18" t="str">
        <x:v>销售员006</x:v>
      </x:c>
      <x:c r="C18" t="str">
        <x:v>终端016</x:v>
      </x:c>
      <x:c r="D18" t="str">
        <x:v>区域002</x:v>
      </x:c>
      <x:c r="E18">
        <x:v>200</x:v>
      </x:c>
      <x:c r="F18" t="s">
        <x:v>169</x:v>
      </x:c>
      <x:c r="G18" t="s">
        <x:v>171</x:v>
      </x:c>
      <x:c r="H18" t="s">
        <x:v>157</x:v>
      </x:c>
    </x:row>
    <x:row r="19">
      <x:c r="A19">
        <x:v>3</x:v>
      </x:c>
      <x:c r="B19" t="str">
        <x:v>销售员005</x:v>
      </x:c>
      <x:c r="C19" t="str">
        <x:v>终端017</x:v>
      </x:c>
      <x:c r="D19" t="str">
        <x:v>区域006</x:v>
      </x:c>
      <x:c r="E19">
        <x:v>150</x:v>
      </x:c>
      <x:c r="F19" t="s">
        <x:v>169</x:v>
      </x:c>
      <x:c r="G19" t="s">
        <x:v>160</x:v>
      </x:c>
      <x:c r="H19" t="s">
        <x:v>157</x:v>
      </x:c>
    </x:row>
    <x:row r="20">
      <x:c r="A20">
        <x:v>4</x:v>
      </x:c>
      <x:c r="B20" t="str">
        <x:v>销售员006</x:v>
      </x:c>
      <x:c r="C20" t="str">
        <x:v>终端018</x:v>
      </x:c>
      <x:c r="D20" t="str">
        <x:v>区域007</x:v>
      </x:c>
      <x:c r="E20">
        <x:v>150</x:v>
      </x:c>
      <x:c r="F20" t="s">
        <x:v>169</x:v>
      </x:c>
      <x:c r="G20" t="s">
        <x:v>172</x:v>
      </x:c>
      <x:c r="H20" t="s">
        <x:v>159</x:v>
      </x:c>
    </x:row>
    <x:row r="21">
      <x:c r="A21">
        <x:v>5</x:v>
      </x:c>
      <x:c r="B21" t="str">
        <x:v>销售员006</x:v>
      </x:c>
      <x:c r="C21" t="str">
        <x:v>终端019</x:v>
      </x:c>
      <x:c r="D21" t="str">
        <x:v>区域007</x:v>
      </x:c>
      <x:c r="E21">
        <x:v>150</x:v>
      </x:c>
      <x:c r="F21" t="s">
        <x:v>169</x:v>
      </x:c>
      <x:c r="G21" t="s">
        <x:v>170</x:v>
      </x:c>
      <x:c r="H21" t="s">
        <x:v>159</x:v>
      </x:c>
    </x:row>
    <x:row r="22">
      <x:c r="A22">
        <x:v>6</x:v>
      </x:c>
      <x:c r="B22" t="str">
        <x:v>销售员003</x:v>
      </x:c>
      <x:c r="C22" t="str">
        <x:v>终端020</x:v>
      </x:c>
      <x:c r="D22" t="str">
        <x:v>区域006</x:v>
      </x:c>
      <x:c r="E22">
        <x:v>80</x:v>
      </x:c>
      <x:c r="F22" t="s">
        <x:v>169</x:v>
      </x:c>
      <x:c r="G22" t="s">
        <x:v>170</x:v>
      </x:c>
      <x:c r="H22" t="s">
        <x:v>173</x:v>
      </x:c>
    </x:row>
    <x:row r="23">
      <x:c r="A23">
        <x:v>7</x:v>
      </x:c>
      <x:c r="B23" t="str">
        <x:v>销售员004</x:v>
      </x:c>
      <x:c r="C23" t="str">
        <x:v>终端021</x:v>
      </x:c>
      <x:c r="D23" t="str">
        <x:v>区域001</x:v>
      </x:c>
      <x:c r="E23"/>
      <x:c r="F23" t="s">
        <x:v>169</x:v>
      </x:c>
      <x:c r="G23" t="s">
        <x:v>174</x:v>
      </x:c>
      <x:c r="H23" t="s">
        <x:v>173</x:v>
      </x:c>
    </x:row>
    <x:row r="24">
      <x:c r="A24">
        <x:v>8</x:v>
      </x:c>
      <x:c r="B24" t="str">
        <x:v>销售员005</x:v>
      </x:c>
      <x:c r="C24" t="str">
        <x:v>终端022</x:v>
      </x:c>
      <x:c r="D24" t="str">
        <x:v>区域008</x:v>
      </x:c>
      <x:c r="E24">
        <x:v>200</x:v>
      </x:c>
      <x:c r="F24" t="s">
        <x:v>169</x:v>
      </x:c>
      <x:c r="G24" t="s">
        <x:v>156</x:v>
      </x:c>
      <x:c r="H24" t="s">
        <x:v>165</x:v>
      </x:c>
    </x:row>
    <x:row r="25">
      <x:c r="A25">
        <x:v>9</x:v>
      </x:c>
      <x:c r="B25" t="str">
        <x:v>销售员005</x:v>
      </x:c>
      <x:c r="C25" t="str">
        <x:v>终端023</x:v>
      </x:c>
      <x:c r="D25" t="str">
        <x:v>区域009</x:v>
      </x:c>
      <x:c r="E25">
        <x:v>200</x:v>
      </x:c>
      <x:c r="F25" t="s">
        <x:v>169</x:v>
      </x:c>
      <x:c r="G25" t="s">
        <x:v>86</x:v>
      </x:c>
      <x:c r="H25" t="s">
        <x:v>157</x:v>
      </x:c>
    </x:row>
    <x:row r="26">
      <x:c r="A26">
        <x:v>10</x:v>
      </x:c>
      <x:c r="B26" t="str">
        <x:v>销售员003</x:v>
      </x:c>
      <x:c r="C26" t="str">
        <x:v>终端024</x:v>
      </x:c>
      <x:c r="D26" t="str">
        <x:v>区域005</x:v>
      </x:c>
      <x:c r="E26">
        <x:v>100</x:v>
      </x:c>
      <x:c r="F26" t="s">
        <x:v>169</x:v>
      </x:c>
      <x:c r="G26" t="s">
        <x:v>175</x:v>
      </x:c>
      <x:c r="H26" t="s">
        <x:v>157</x:v>
      </x:c>
    </x:row>
    <x:row r="27">
      <x:c r="A27">
        <x:v>11</x:v>
      </x:c>
      <x:c r="B27" t="str">
        <x:v>销售员006</x:v>
      </x:c>
      <x:c r="C27" t="str">
        <x:v>终端025</x:v>
      </x:c>
      <x:c r="D27" t="str">
        <x:v>区域010</x:v>
      </x:c>
      <x:c r="E27">
        <x:v>100</x:v>
      </x:c>
      <x:c r="F27" t="s">
        <x:v>169</x:v>
      </x:c>
      <x:c r="G27" t="s">
        <x:v>160</x:v>
      </x:c>
      <x:c r="H27" t="s">
        <x:v>159</x:v>
      </x:c>
    </x:row>
    <x:row r="28">
      <x:c r="A28">
        <x:v>12</x:v>
      </x:c>
      <x:c r="B28" t="str">
        <x:v>销售员004</x:v>
      </x:c>
      <x:c r="C28" t="str">
        <x:v>终端026</x:v>
      </x:c>
      <x:c r="D28" t="str">
        <x:v>区域011</x:v>
      </x:c>
      <x:c r="E28">
        <x:v>200</x:v>
      </x:c>
      <x:c r="F28" t="s">
        <x:v>169</x:v>
      </x:c>
      <x:c r="G28" t="s">
        <x:v>176</x:v>
      </x:c>
      <x:c r="H28" t="s">
        <x:v>159</x:v>
      </x:c>
    </x:row>
    <x:row r="29">
      <x:c r="A29">
        <x:v>13</x:v>
      </x:c>
      <x:c r="B29" t="str">
        <x:v>销售员003</x:v>
      </x:c>
      <x:c r="C29" t="str">
        <x:v>终端027</x:v>
      </x:c>
      <x:c r="D29" t="str">
        <x:v>区域009</x:v>
      </x:c>
      <x:c r="E29">
        <x:v>60</x:v>
      </x:c>
      <x:c r="F29" t="s">
        <x:v>169</x:v>
      </x:c>
      <x:c r="G29" t="s">
        <x:v>177</x:v>
      </x:c>
      <x:c r="H29" t="s">
        <x:v>159</x:v>
      </x:c>
    </x:row>
    <x:row r="30">
      <x:c r="A30">
        <x:v>14</x:v>
      </x:c>
      <x:c r="B30" t="str">
        <x:v>销售员003</x:v>
      </x:c>
      <x:c r="C30" t="str">
        <x:v>终端028</x:v>
      </x:c>
      <x:c r="D30" t="str">
        <x:v>区域012</x:v>
      </x:c>
      <x:c r="E30">
        <x:v>60</x:v>
      </x:c>
      <x:c r="F30" t="s">
        <x:v>169</x:v>
      </x:c>
      <x:c r="G30" t="s">
        <x:v>178</x:v>
      </x:c>
      <x:c r="H30" t="s">
        <x:v>159</x:v>
      </x:c>
    </x:row>
    <x:row r="31">
      <x:c r="A31">
        <x:v>15</x:v>
      </x:c>
      <x:c r="B31" t="str">
        <x:v>销售员003</x:v>
      </x:c>
      <x:c r="C31" t="str">
        <x:v>终端029</x:v>
      </x:c>
      <x:c r="D31" t="str">
        <x:v>区域013</x:v>
      </x:c>
      <x:c r="E31">
        <x:v>200</x:v>
      </x:c>
      <x:c r="F31" t="s">
        <x:v>169</x:v>
      </x:c>
      <x:c r="G31" t="s">
        <x:v>170</x:v>
      </x:c>
      <x:c r="H31" t="s">
        <x:v>173</x:v>
      </x:c>
    </x:row>
    <x:row r="32">
      <x:c r="A32">
        <x:v>16</x:v>
      </x:c>
      <x:c r="B32" t="str">
        <x:v>销售员003</x:v>
      </x:c>
      <x:c r="C32" t="str">
        <x:v>终端030</x:v>
      </x:c>
      <x:c r="D32" t="str">
        <x:v>区域013</x:v>
      </x:c>
      <x:c r="E32">
        <x:v>80</x:v>
      </x:c>
      <x:c r="F32" t="s">
        <x:v>169</x:v>
      </x:c>
      <x:c r="G32" t="s">
        <x:v>170</x:v>
      </x:c>
      <x:c r="H32" t="s">
        <x:v>173</x:v>
      </x:c>
    </x:row>
    <x:row r="33">
      <x:c r="A33">
        <x:v>17</x:v>
      </x:c>
      <x:c r="B33" t="str">
        <x:v>销售员005</x:v>
      </x:c>
      <x:c r="C33" t="str">
        <x:v>终端031</x:v>
      </x:c>
      <x:c r="D33" t="str">
        <x:v>区域014</x:v>
      </x:c>
      <x:c r="E33">
        <x:v>200</x:v>
      </x:c>
      <x:c r="F33" t="s">
        <x:v>169</x:v>
      </x:c>
      <x:c r="G33" t="s">
        <x:v>162</x:v>
      </x:c>
      <x:c r="H33" t="s">
        <x:v>165</x:v>
      </x:c>
    </x:row>
    <x:row r="34">
      <x:c r="A34">
        <x:v>18</x:v>
      </x:c>
      <x:c r="B34" t="str">
        <x:v>销售员004</x:v>
      </x:c>
      <x:c r="C34" t="str">
        <x:v>终端032</x:v>
      </x:c>
      <x:c r="D34" t="str">
        <x:v>区域001</x:v>
      </x:c>
      <x:c r="E34">
        <x:v>100</x:v>
      </x:c>
      <x:c r="F34" t="s">
        <x:v>169</x:v>
      </x:c>
      <x:c r="G34" t="s">
        <x:v>179</x:v>
      </x:c>
      <x:c r="H34" t="s">
        <x:v>157</x:v>
      </x:c>
    </x:row>
    <x:row r="35">
      <x:c r="A35">
        <x:v>19</x:v>
      </x:c>
      <x:c r="B35" t="str">
        <x:v>销售员004</x:v>
      </x:c>
      <x:c r="C35" t="str">
        <x:v>终端033</x:v>
      </x:c>
      <x:c r="D35" t="str">
        <x:v>区域001</x:v>
      </x:c>
      <x:c r="E35">
        <x:v>100</x:v>
      </x:c>
      <x:c r="F35" t="s">
        <x:v>169</x:v>
      </x:c>
      <x:c r="G35" t="s">
        <x:v>179</x:v>
      </x:c>
      <x:c r="H35" t="s">
        <x:v>157</x:v>
      </x:c>
    </x:row>
    <x:row r="36">
      <x:c r="A36">
        <x:v>20</x:v>
      </x:c>
      <x:c r="B36" t="str">
        <x:v>销售员006</x:v>
      </x:c>
      <x:c r="C36" t="str">
        <x:v>终端034</x:v>
      </x:c>
      <x:c r="D36" t="str">
        <x:v>区域004</x:v>
      </x:c>
      <x:c r="E36">
        <x:v>100</x:v>
      </x:c>
      <x:c r="F36" t="s">
        <x:v>169</x:v>
      </x:c>
      <x:c r="G36" t="s">
        <x:v>180</x:v>
      </x:c>
      <x:c r="H36" t="s">
        <x:v>173</x:v>
      </x:c>
    </x:row>
    <x:row r="37">
      <x:c r="A37">
        <x:v>21</x:v>
      </x:c>
      <x:c r="B37" t="str">
        <x:v>销售员005</x:v>
      </x:c>
      <x:c r="C37" t="str">
        <x:v>终端035</x:v>
      </x:c>
      <x:c r="D37" t="str">
        <x:v>区域015</x:v>
      </x:c>
      <x:c r="E37">
        <x:v>100</x:v>
      </x:c>
      <x:c r="F37" t="s">
        <x:v>169</x:v>
      </x:c>
      <x:c r="G37" t="s">
        <x:v>181</x:v>
      </x:c>
      <x:c r="H37" t="s">
        <x:v>173</x:v>
      </x:c>
    </x:row>
    <x:row r="38">
      <x:c r="A38">
        <x:v>22</x:v>
      </x:c>
      <x:c r="B38" t="str">
        <x:v>销售员005</x:v>
      </x:c>
      <x:c r="C38" t="str">
        <x:v>终端036</x:v>
      </x:c>
      <x:c r="D38"/>
      <x:c r="E38">
        <x:v>80</x:v>
      </x:c>
      <x:c r="F38" t="s">
        <x:v>169</x:v>
      </x:c>
      <x:c r="G38" t="s">
        <x:v>170</x:v>
      </x:c>
      <x:c r="H38" t="s">
        <x:v>157</x:v>
      </x:c>
    </x:row>
    <x:row r="39">
      <x:c r="A39">
        <x:v>23</x:v>
      </x:c>
      <x:c r="B39" t="str">
        <x:v>销售员001</x:v>
      </x:c>
      <x:c r="C39" t="str">
        <x:v>终端037</x:v>
      </x:c>
      <x:c r="D39" t="str">
        <x:v>区域016</x:v>
      </x:c>
      <x:c r="E39">
        <x:v>50</x:v>
      </x:c>
      <x:c r="F39" t="s">
        <x:v>169</x:v>
      </x:c>
      <x:c r="G39" t="s">
        <x:v>178</x:v>
      </x:c>
      <x:c r="H39" t="s">
        <x:v>157</x:v>
      </x:c>
    </x:row>
    <x:row r="40">
      <x:c r="A40">
        <x:v>24</x:v>
      </x:c>
      <x:c r="B40" t="str">
        <x:v>销售员001</x:v>
      </x:c>
      <x:c r="C40" t="str">
        <x:v>终端037</x:v>
      </x:c>
      <x:c r="D40" t="str">
        <x:v>区域017</x:v>
      </x:c>
      <x:c r="E40">
        <x:v>50</x:v>
      </x:c>
      <x:c r="F40" t="s">
        <x:v>169</x:v>
      </x:c>
      <x:c r="G40" t="s">
        <x:v>170</x:v>
      </x:c>
      <x:c r="H40" t="s">
        <x:v>157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.75" hidden="0" customWidth="1"/>
    <x:col min="2" max="2" width="8.880000114440918" hidden="0" customWidth="1"/>
    <x:col min="3" max="3" width="12.130000114440918" hidden="0" customWidth="1"/>
    <x:col min="4" max="4" width="7.880000114440918" hidden="0" customWidth="1"/>
    <x:col min="5" max="5" width="11.5" hidden="0" customWidth="1"/>
    <x:col min="6" max="6" width="6" hidden="0" customWidth="1"/>
    <x:col min="7" max="7" width="12.5" hidden="0" customWidth="1"/>
    <x:col min="8" max="8" width="15.880000114440918" hidden="0" customWidth="1"/>
    <x:col min="9" max="9" width="11.5" hidden="0" customWidth="1"/>
    <x:col min="10" max="10" width="13.380000114440918" hidden="0" customWidth="1"/>
    <x:col min="11" max="11" width="25.75" hidden="0" customWidth="1"/>
    <x:col min="12" max="12" width="11.5" hidden="0" customWidth="1"/>
    <x:col min="13" max="13" width="28.5" hidden="0" customWidth="1"/>
    <x:col min="14" max="14" width="7.880000114440918" hidden="0" customWidth="1"/>
    <x:col min="15" max="15" width="7.880000114440918" hidden="0" customWidth="1"/>
  </x:cols>
  <x:sheetData>
    <x:row r="1">
      <x:c r="A1" t="s">
        <x:v>182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</x:row>
    <x:row r="2">
      <x:c r="A2" t="s">
        <x:v>148</x:v>
      </x:c>
      <x:c r="B2" t="s">
        <x:v>3</x:v>
      </x:c>
      <x:c r="C2" t="s">
        <x:v>183</x:v>
      </x:c>
      <x:c r="D2"/>
      <x:c r="E2"/>
      <x:c r="F2"/>
      <x:c r="G2"/>
      <x:c r="H2" t="s">
        <x:v>184</x:v>
      </x:c>
      <x:c r="I2"/>
      <x:c r="J2"/>
      <x:c r="K2"/>
      <x:c r="L2" t="s">
        <x:v>185</x:v>
      </x:c>
      <x:c r="M2"/>
      <x:c r="N2"/>
      <x:c r="O2"/>
      <x:c r="P2"/>
      <x:c r="Q2"/>
    </x:row>
    <x:row r="3">
      <x:c r="A3"/>
      <x:c r="B3"/>
      <x:c r="C3" t="s">
        <x:v>186</x:v>
      </x:c>
      <x:c r="D3" t="s">
        <x:v>149</x:v>
      </x:c>
      <x:c r="E3" t="s">
        <x:v>187</x:v>
      </x:c>
      <x:c r="F3" t="s">
        <x:v>188</x:v>
      </x:c>
      <x:c r="G3" t="s">
        <x:v>189</x:v>
      </x:c>
      <x:c r="H3" t="s">
        <x:v>190</x:v>
      </x:c>
      <x:c r="I3" t="s">
        <x:v>191</x:v>
      </x:c>
      <x:c r="J3" t="s">
        <x:v>192</x:v>
      </x:c>
      <x:c r="K3" t="s">
        <x:v>193</x:v>
      </x:c>
      <x:c r="L3" t="s">
        <x:v>194</x:v>
      </x:c>
      <x:c r="M3" t="s">
        <x:v>195</x:v>
      </x:c>
      <x:c r="N3" t="s">
        <x:v>196</x:v>
      </x:c>
      <x:c r="O3" t="s">
        <x:v>197</x:v>
      </x:c>
      <x:c r="P3"/>
      <x:c r="Q3"/>
    </x:row>
    <x:row r="4">
      <x:c r="A4">
        <x:v>1</x:v>
      </x:c>
      <x:c r="B4" t="str">
        <x:v>销售员005</x:v>
      </x:c>
      <x:c r="C4" t="s">
        <x:v>198</x:v>
      </x:c>
      <x:c r="D4" t="str">
        <x:v>终端038</x:v>
      </x:c>
      <x:c r="E4" t="s">
        <x:v>199</x:v>
      </x:c>
      <x:c r="F4" t="s">
        <x:v>200</x:v>
      </x:c>
      <x:c r="G4" t="str">
        <x:v>已脱敏电话039</x:v>
      </x:c>
      <x:c r="H4">
        <x:v>150</x:v>
      </x:c>
      <x:c r="I4" t="s">
        <x:v>201</x:v>
      </x:c>
      <x:c r="J4" t="s">
        <x:v>202</x:v>
      </x:c>
      <x:c r="K4" t="s">
        <x:v>169</x:v>
      </x:c>
      <x:c r="L4" t="s">
        <x:v>64</x:v>
      </x:c>
      <x:c r="M4" t="s">
        <x:v>203</x:v>
      </x:c>
      <x:c r="N4" t="s">
        <x:v>155</x:v>
      </x:c>
      <x:c r="O4" t="s">
        <x:v>204</x:v>
      </x:c>
      <x:c r="P4"/>
      <x:c r="Q4"/>
    </x:row>
    <x:row r="5">
      <x:c r="A5">
        <x:v>2</x:v>
      </x:c>
      <x:c r="B5" t="str">
        <x:v>销售员005</x:v>
      </x:c>
      <x:c r="C5" t="s">
        <x:v>205</x:v>
      </x:c>
      <x:c r="D5" t="str">
        <x:v>终端039</x:v>
      </x:c>
      <x:c r="E5" t="str">
        <x:v>区域006</x:v>
      </x:c>
      <x:c r="F5" t="s">
        <x:v>206</x:v>
      </x:c>
      <x:c r="G5" t="str">
        <x:v>已脱敏电话040</x:v>
      </x:c>
      <x:c r="H5">
        <x:v>160</x:v>
      </x:c>
      <x:c r="I5" t="s">
        <x:v>201</x:v>
      </x:c>
      <x:c r="J5" t="s">
        <x:v>202</x:v>
      </x:c>
      <x:c r="K5" t="s">
        <x:v>169</x:v>
      </x:c>
      <x:c r="L5" t="s">
        <x:v>64</x:v>
      </x:c>
      <x:c r="M5" t="s">
        <x:v>207</x:v>
      </x:c>
      <x:c r="N5" t="s">
        <x:v>155</x:v>
      </x:c>
      <x:c r="O5" t="s">
        <x:v>204</x:v>
      </x:c>
      <x:c r="P5"/>
      <x:c r="Q5"/>
    </x:row>
    <x:row r="6">
      <x:c r="A6">
        <x:v>3</x:v>
      </x:c>
      <x:c r="B6" t="str">
        <x:v>销售员005</x:v>
      </x:c>
      <x:c r="C6" t="s">
        <x:v>208</x:v>
      </x:c>
      <x:c r="D6" t="str">
        <x:v>终端022</x:v>
      </x:c>
      <x:c r="E6" t="str">
        <x:v>区域008</x:v>
      </x:c>
      <x:c r="F6" t="s">
        <x:v>200</x:v>
      </x:c>
      <x:c r="G6" t="str">
        <x:v>已脱敏电话039</x:v>
      </x:c>
      <x:c r="H6">
        <x:v>150</x:v>
      </x:c>
      <x:c r="I6" t="s">
        <x:v>201</x:v>
      </x:c>
      <x:c r="J6" t="s">
        <x:v>202</x:v>
      </x:c>
      <x:c r="K6" t="s">
        <x:v>169</x:v>
      </x:c>
      <x:c r="L6" t="s">
        <x:v>65</x:v>
      </x:c>
      <x:c r="M6" t="s">
        <x:v>203</x:v>
      </x:c>
      <x:c r="N6" t="s">
        <x:v>155</x:v>
      </x:c>
      <x:c r="O6" t="s">
        <x:v>204</x:v>
      </x:c>
      <x:c r="P6"/>
      <x:c r="Q6"/>
    </x:row>
    <x:row r="7">
      <x:c r="A7">
        <x:v>4</x:v>
      </x:c>
      <x:c r="B7" t="str">
        <x:v>销售员005</x:v>
      </x:c>
      <x:c r="C7" t="s">
        <x:v>209</x:v>
      </x:c>
      <x:c r="D7" t="str">
        <x:v>终端040</x:v>
      </x:c>
      <x:c r="E7" t="str">
        <x:v>区域014</x:v>
      </x:c>
      <x:c r="F7" t="s">
        <x:v>206</x:v>
      </x:c>
      <x:c r="G7" t="str">
        <x:v>已脱敏电话040</x:v>
      </x:c>
      <x:c r="H7">
        <x:v>160</x:v>
      </x:c>
      <x:c r="I7" t="s">
        <x:v>201</x:v>
      </x:c>
      <x:c r="J7" t="s">
        <x:v>202</x:v>
      </x:c>
      <x:c r="K7" t="s">
        <x:v>169</x:v>
      </x:c>
      <x:c r="L7" t="s">
        <x:v>65</x:v>
      </x:c>
      <x:c r="M7" t="s">
        <x:v>207</x:v>
      </x:c>
      <x:c r="N7" t="s">
        <x:v>155</x:v>
      </x:c>
      <x:c r="O7" t="s">
        <x:v>204</x:v>
      </x:c>
      <x:c r="P7"/>
      <x:c r="Q7"/>
    </x:row>
    <x:row r="8">
      <x:c r="A8">
        <x:v>5</x:v>
      </x:c>
      <x:c r="B8" t="str">
        <x:v>销售员004</x:v>
      </x:c>
      <x:c r="C8" t="s">
        <x:v>210</x:v>
      </x:c>
      <x:c r="D8" t="str">
        <x:v>终端041</x:v>
      </x:c>
      <x:c r="E8" t="s">
        <x:v>211</x:v>
      </x:c>
      <x:c r="F8" t="s">
        <x:v>212</x:v>
      </x:c>
      <x:c r="G8" t="str">
        <x:v>已脱敏电话041</x:v>
      </x:c>
      <x:c r="H8">
        <x:v>300</x:v>
      </x:c>
      <x:c r="I8" t="s">
        <x:v>213</x:v>
      </x:c>
      <x:c r="J8" t="s">
        <x:v>202</x:v>
      </x:c>
      <x:c r="K8" t="s">
        <x:v>169</x:v>
      </x:c>
      <x:c r="L8" t="s">
        <x:v>66</x:v>
      </x:c>
      <x:c r="M8" t="s">
        <x:v>203</x:v>
      </x:c>
      <x:c r="N8" t="s">
        <x:v>155</x:v>
      </x:c>
      <x:c r="O8" t="s">
        <x:v>204</x:v>
      </x:c>
      <x:c r="P8"/>
      <x:c r="Q8"/>
    </x:row>
    <x:row r="9">
      <x:c r="A9">
        <x:v>6</x:v>
      </x:c>
      <x:c r="B9" t="str">
        <x:v>销售员004</x:v>
      </x:c>
      <x:c r="C9" t="s">
        <x:v>214</x:v>
      </x:c>
      <x:c r="D9" t="str">
        <x:v>终端042</x:v>
      </x:c>
      <x:c r="E9" t="str">
        <x:v>区域001</x:v>
      </x:c>
      <x:c r="F9" t="s">
        <x:v>215</x:v>
      </x:c>
      <x:c r="G9" t="str">
        <x:v>已脱敏电话042</x:v>
      </x:c>
      <x:c r="H9">
        <x:v>160</x:v>
      </x:c>
      <x:c r="I9" t="s">
        <x:v>201</x:v>
      </x:c>
      <x:c r="J9" t="s">
        <x:v>202</x:v>
      </x:c>
      <x:c r="K9" t="s">
        <x:v>169</x:v>
      </x:c>
      <x:c r="L9" t="s">
        <x:v>66</x:v>
      </x:c>
      <x:c r="M9" t="s">
        <x:v>207</x:v>
      </x:c>
      <x:c r="N9" t="s">
        <x:v>155</x:v>
      </x:c>
      <x:c r="O9" t="s">
        <x:v>204</x:v>
      </x:c>
      <x:c r="P9"/>
      <x:c r="Q9"/>
    </x:row>
    <x:row r="10">
      <x:c r="A10">
        <x:v>7</x:v>
      </x:c>
      <x:c r="B10" t="str">
        <x:v>销售员006</x:v>
      </x:c>
      <x:c r="C10" t="s">
        <x:v>216</x:v>
      </x:c>
      <x:c r="D10" t="str">
        <x:v>终端002</x:v>
      </x:c>
      <x:c r="E10" t="str">
        <x:v>区域001</x:v>
      </x:c>
      <x:c r="F10" t="s">
        <x:v>217</x:v>
      </x:c>
      <x:c r="G10" t="str">
        <x:v>已脱敏电话043</x:v>
      </x:c>
      <x:c r="H10">
        <x:v>250</x:v>
      </x:c>
      <x:c r="I10" t="s">
        <x:v>213</x:v>
      </x:c>
      <x:c r="J10" t="s">
        <x:v>202</x:v>
      </x:c>
      <x:c r="K10" t="s">
        <x:v>169</x:v>
      </x:c>
      <x:c r="L10" t="s">
        <x:v>66</x:v>
      </x:c>
      <x:c r="M10" t="s">
        <x:v>207</x:v>
      </x:c>
      <x:c r="N10" t="s">
        <x:v>155</x:v>
      </x:c>
      <x:c r="O10" t="s">
        <x:v>204</x:v>
      </x:c>
      <x:c r="P10"/>
      <x:c r="Q10"/>
    </x:row>
    <x:row r="11">
      <x:c r="A11">
        <x:v>8</x:v>
      </x:c>
      <x:c r="B11" t="str">
        <x:v>销售员005</x:v>
      </x:c>
      <x:c r="C11" t="s">
        <x:v>218</x:v>
      </x:c>
      <x:c r="D11" t="str">
        <x:v>终端031</x:v>
      </x:c>
      <x:c r="E11" t="str">
        <x:v>区域014</x:v>
      </x:c>
      <x:c r="F11" t="s">
        <x:v>219</x:v>
      </x:c>
      <x:c r="G11" t="str">
        <x:v>已脱敏电话041</x:v>
      </x:c>
      <x:c r="H11">
        <x:v>300</x:v>
      </x:c>
      <x:c r="I11" t="s">
        <x:v>213</x:v>
      </x:c>
      <x:c r="J11" t="s">
        <x:v>202</x:v>
      </x:c>
      <x:c r="K11" t="s">
        <x:v>169</x:v>
      </x:c>
      <x:c r="L11" t="s">
        <x:v>67</x:v>
      </x:c>
      <x:c r="M11" t="s">
        <x:v>203</x:v>
      </x:c>
      <x:c r="N11" t="s">
        <x:v>169</x:v>
      </x:c>
      <x:c r="O11" t="s">
        <x:v>204</x:v>
      </x:c>
      <x:c r="P11"/>
      <x:c r="Q11"/>
    </x:row>
    <x:row r="12">
      <x:c r="A12">
        <x:v>9</x:v>
      </x:c>
      <x:c r="B12" t="str">
        <x:v>销售员005</x:v>
      </x:c>
      <x:c r="C12" t="s">
        <x:v>220</x:v>
      </x:c>
      <x:c r="D12" t="str">
        <x:v>终端043</x:v>
      </x:c>
      <x:c r="E12" t="str">
        <x:v>区域001</x:v>
      </x:c>
      <x:c r="F12" t="s">
        <x:v>221</x:v>
      </x:c>
      <x:c r="G12" t="str">
        <x:v>已脱敏电话044</x:v>
      </x:c>
      <x:c r="H12">
        <x:v>160</x:v>
      </x:c>
      <x:c r="I12" t="s">
        <x:v>201</x:v>
      </x:c>
      <x:c r="J12" t="s">
        <x:v>202</x:v>
      </x:c>
      <x:c r="K12" t="s">
        <x:v>169</x:v>
      </x:c>
      <x:c r="L12" t="s">
        <x:v>67</x:v>
      </x:c>
      <x:c r="M12" t="s">
        <x:v>207</x:v>
      </x:c>
      <x:c r="N12" t="s">
        <x:v>155</x:v>
      </x:c>
      <x:c r="O12" t="s">
        <x:v>204</x:v>
      </x:c>
      <x:c r="P12"/>
      <x:c r="Q12"/>
    </x:row>
    <x:row r="13">
      <x:c r="A13">
        <x:v>10</x:v>
      </x:c>
      <x:c r="B13" t="str">
        <x:v>销售员006</x:v>
      </x:c>
      <x:c r="C13" t="s">
        <x:v>222</x:v>
      </x:c>
      <x:c r="D13" t="str">
        <x:v>终端044</x:v>
      </x:c>
      <x:c r="E13" t="str">
        <x:v>区域007</x:v>
      </x:c>
      <x:c r="F13" t="s">
        <x:v>223</x:v>
      </x:c>
      <x:c r="G13" t="str">
        <x:v>已脱敏电话045</x:v>
      </x:c>
      <x:c r="H13">
        <x:v>250</x:v>
      </x:c>
      <x:c r="I13" t="s">
        <x:v>213</x:v>
      </x:c>
      <x:c r="J13" t="s">
        <x:v>202</x:v>
      </x:c>
      <x:c r="K13" t="s">
        <x:v>169</x:v>
      </x:c>
      <x:c r="L13" t="s">
        <x:v>67</x:v>
      </x:c>
      <x:c r="M13" t="s">
        <x:v>207</x:v>
      </x:c>
      <x:c r="N13" t="s">
        <x:v>168</x:v>
      </x:c>
      <x:c r="O13" t="s">
        <x:v>204</x:v>
      </x:c>
      <x:c r="P13"/>
      <x:c r="Q13"/>
    </x:row>
    <x:row r="14">
      <x:c r="A14">
        <x:v>11</x:v>
      </x:c>
      <x:c r="B14" t="str">
        <x:v>销售员006</x:v>
      </x:c>
      <x:c r="C14" t="s">
        <x:v>224</x:v>
      </x:c>
      <x:c r="D14" t="str">
        <x:v>终端045</x:v>
      </x:c>
      <x:c r="E14" t="s">
        <x:v>225</x:v>
      </x:c>
      <x:c r="F14" t="s">
        <x:v>226</x:v>
      </x:c>
      <x:c r="G14" t="str">
        <x:v>已脱敏电话039</x:v>
      </x:c>
      <x:c r="H14">
        <x:v>150</x:v>
      </x:c>
      <x:c r="I14" t="s">
        <x:v>213</x:v>
      </x:c>
      <x:c r="J14" t="s">
        <x:v>202</x:v>
      </x:c>
      <x:c r="K14" t="s">
        <x:v>169</x:v>
      </x:c>
      <x:c r="L14" t="s">
        <x:v>67</x:v>
      </x:c>
      <x:c r="M14" t="s">
        <x:v>207</x:v>
      </x:c>
      <x:c r="N14" t="s">
        <x:v>168</x:v>
      </x:c>
      <x:c r="O14" t="s">
        <x:v>204</x:v>
      </x:c>
      <x:c r="P14"/>
      <x:c r="Q14"/>
    </x:row>
    <x:row r="15">
      <x:c r="A15">
        <x:v>12</x:v>
      </x:c>
      <x:c r="B15" t="str">
        <x:v>销售员006</x:v>
      </x:c>
      <x:c r="C15" t="s">
        <x:v>227</x:v>
      </x:c>
      <x:c r="D15" t="str">
        <x:v>终端045</x:v>
      </x:c>
      <x:c r="E15" t="s">
        <x:v>228</x:v>
      </x:c>
      <x:c r="F15" t="s">
        <x:v>226</x:v>
      </x:c>
      <x:c r="G15" t="str">
        <x:v>已脱敏电话039</x:v>
      </x:c>
      <x:c r="H15">
        <x:v>150</x:v>
      </x:c>
      <x:c r="I15" t="s">
        <x:v>213</x:v>
      </x:c>
      <x:c r="J15" t="s">
        <x:v>202</x:v>
      </x:c>
      <x:c r="K15" t="s">
        <x:v>169</x:v>
      </x:c>
      <x:c r="L15" t="s">
        <x:v>67</x:v>
      </x:c>
      <x:c r="M15" t="s">
        <x:v>207</x:v>
      </x:c>
      <x:c r="N15" t="s">
        <x:v>168</x:v>
      </x:c>
      <x:c r="O15" t="s">
        <x:v>204</x:v>
      </x:c>
      <x:c r="P15"/>
      <x:c r="Q15"/>
    </x:row>
    <x:row r="16">
      <x:c r="A16">
        <x:v>13</x:v>
      </x:c>
      <x:c r="B16" t="str">
        <x:v>销售员005</x:v>
      </x:c>
      <x:c r="C16" t="s">
        <x:v>229</x:v>
      </x:c>
      <x:c r="D16" t="str">
        <x:v>终端046</x:v>
      </x:c>
      <x:c r="E16" t="s">
        <x:v>230</x:v>
      </x:c>
      <x:c r="F16" t="s">
        <x:v>231</x:v>
      </x:c>
      <x:c r="G16" t="str">
        <x:v>已脱敏电话046</x:v>
      </x:c>
      <x:c r="H16">
        <x:v>150</x:v>
      </x:c>
      <x:c r="I16" t="s">
        <x:v>213</x:v>
      </x:c>
      <x:c r="J16" t="s">
        <x:v>202</x:v>
      </x:c>
      <x:c r="K16" t="s">
        <x:v>169</x:v>
      </x:c>
      <x:c r="L16" t="s">
        <x:v>67</x:v>
      </x:c>
      <x:c r="M16" t="s">
        <x:v>207</x:v>
      </x:c>
      <x:c r="N16" t="s">
        <x:v>155</x:v>
      </x:c>
      <x:c r="O16" t="s">
        <x:v>204</x:v>
      </x:c>
      <x:c r="P16"/>
      <x:c r="Q16"/>
    </x:row>
    <x:row r="17">
      <x:c r="A17">
        <x:v>14</x:v>
      </x:c>
      <x:c r="B17" t="str">
        <x:v>销售员006</x:v>
      </x:c>
      <x:c r="C17" t="s">
        <x:v>232</x:v>
      </x:c>
      <x:c r="D17" t="str">
        <x:v>终端009</x:v>
      </x:c>
      <x:c r="E17" t="s">
        <x:v>233</x:v>
      </x:c>
      <x:c r="F17" t="s">
        <x:v>234</x:v>
      </x:c>
      <x:c r="G17" t="str">
        <x:v>已脱敏电话047</x:v>
      </x:c>
      <x:c r="H17">
        <x:v>150</x:v>
      </x:c>
      <x:c r="I17" t="s">
        <x:v>201</x:v>
      </x:c>
      <x:c r="J17" t="s">
        <x:v>202</x:v>
      </x:c>
      <x:c r="K17" t="s">
        <x:v>169</x:v>
      </x:c>
      <x:c r="L17" t="s">
        <x:v>68</x:v>
      </x:c>
      <x:c r="M17" t="s">
        <x:v>207</x:v>
      </x:c>
      <x:c r="N17" t="s">
        <x:v>155</x:v>
      </x:c>
      <x:c r="O17" t="s">
        <x:v>204</x:v>
      </x:c>
      <x:c r="P17"/>
      <x:c r="Q17"/>
    </x:row>
    <x:row r="18">
      <x:c r="A18">
        <x:v>15</x:v>
      </x:c>
      <x:c r="B18" t="str">
        <x:v>销售员006</x:v>
      </x:c>
      <x:c r="C18" t="s">
        <x:v>235</x:v>
      </x:c>
      <x:c r="D18" t="str">
        <x:v>终端047</x:v>
      </x:c>
      <x:c r="E18" t="s">
        <x:v>233</x:v>
      </x:c>
      <x:c r="F18" t="s">
        <x:v>236</x:v>
      </x:c>
      <x:c r="G18" t="str">
        <x:v>已脱敏电话048</x:v>
      </x:c>
      <x:c r="H18">
        <x:v>120</x:v>
      </x:c>
      <x:c r="I18" t="s">
        <x:v>201</x:v>
      </x:c>
      <x:c r="J18" t="s">
        <x:v>202</x:v>
      </x:c>
      <x:c r="K18" t="s">
        <x:v>169</x:v>
      </x:c>
      <x:c r="L18" t="s">
        <x:v>68</x:v>
      </x:c>
      <x:c r="M18" t="s">
        <x:v>207</x:v>
      </x:c>
      <x:c r="N18" t="s">
        <x:v>155</x:v>
      </x:c>
      <x:c r="O18" t="s">
        <x:v>204</x:v>
      </x:c>
      <x:c r="P18"/>
      <x:c r="Q18"/>
    </x:row>
    <x:row r="19">
      <x:c r="A19">
        <x:v>16</x:v>
      </x:c>
      <x:c r="B19" t="str">
        <x:v>销售员004</x:v>
      </x:c>
      <x:c r="C19" t="s">
        <x:v>237</x:v>
      </x:c>
      <x:c r="D19" t="str">
        <x:v>终端008</x:v>
      </x:c>
      <x:c r="E19" t="s">
        <x:v>238</x:v>
      </x:c>
      <x:c r="F19" t="s">
        <x:v>239</x:v>
      </x:c>
      <x:c r="G19" t="str">
        <x:v>已脱敏电话049</x:v>
      </x:c>
      <x:c r="H19">
        <x:v>100</x:v>
      </x:c>
      <x:c r="I19" t="s">
        <x:v>201</x:v>
      </x:c>
      <x:c r="J19" t="s">
        <x:v>202</x:v>
      </x:c>
      <x:c r="K19" t="s">
        <x:v>169</x:v>
      </x:c>
      <x:c r="L19" t="s">
        <x:v>68</x:v>
      </x:c>
      <x:c r="M19" t="s">
        <x:v>207</x:v>
      </x:c>
      <x:c r="N19" t="s">
        <x:v>155</x:v>
      </x:c>
      <x:c r="O19" t="s">
        <x:v>204</x:v>
      </x:c>
      <x:c r="P19"/>
      <x:c r="Q19"/>
    </x:row>
    <x:row r="20">
      <x:c r="A20">
        <x:v>17</x:v>
      </x:c>
      <x:c r="B20" t="str">
        <x:v>销售员002</x:v>
      </x:c>
      <x:c r="C20" t="s">
        <x:v>240</x:v>
      </x:c>
      <x:c r="D20" t="str">
        <x:v>终端048</x:v>
      </x:c>
      <x:c r="E20" t="str">
        <x:v>销售员012</x:v>
      </x:c>
      <x:c r="F20" t="s">
        <x:v>241</x:v>
      </x:c>
      <x:c r="G20" t="str">
        <x:v>已脱敏电话050</x:v>
      </x:c>
      <x:c r="H20">
        <x:v>150</x:v>
      </x:c>
      <x:c r="I20" t="s">
        <x:v>213</x:v>
      </x:c>
      <x:c r="J20" t="s">
        <x:v>202</x:v>
      </x:c>
      <x:c r="K20" t="s">
        <x:v>169</x:v>
      </x:c>
      <x:c r="L20" t="s">
        <x:v>68</x:v>
      </x:c>
      <x:c r="M20" t="s">
        <x:v>207</x:v>
      </x:c>
      <x:c r="N20" t="s">
        <x:v>155</x:v>
      </x:c>
      <x:c r="O20" t="s">
        <x:v>204</x:v>
      </x:c>
      <x:c r="P20"/>
      <x:c r="Q20"/>
    </x:row>
    <x:row r="21">
      <x:c r="A21">
        <x:v>18</x:v>
      </x:c>
      <x:c r="B21" t="str">
        <x:v>销售员005</x:v>
      </x:c>
      <x:c r="C21" t="s">
        <x:v>242</x:v>
      </x:c>
      <x:c r="D21" t="str">
        <x:v>终端049</x:v>
      </x:c>
      <x:c r="E21" t="str">
        <x:v>区域008</x:v>
      </x:c>
      <x:c r="F21" t="s">
        <x:v>243</x:v>
      </x:c>
      <x:c r="G21" t="str">
        <x:v>已脱敏电话051</x:v>
      </x:c>
      <x:c r="H21">
        <x:v>120</x:v>
      </x:c>
      <x:c r="I21" t="s">
        <x:v>201</x:v>
      </x:c>
      <x:c r="J21" t="s">
        <x:v>202</x:v>
      </x:c>
      <x:c r="K21" t="s">
        <x:v>169</x:v>
      </x:c>
      <x:c r="L21" t="s">
        <x:v>69</x:v>
      </x:c>
      <x:c r="M21" t="s">
        <x:v>203</x:v>
      </x:c>
      <x:c r="N21" t="s">
        <x:v>155</x:v>
      </x:c>
      <x:c r="O21" t="s">
        <x:v>204</x:v>
      </x:c>
      <x:c r="P21"/>
      <x:c r="Q21"/>
    </x:row>
    <x:row r="22">
      <x:c r="A22">
        <x:v>19</x:v>
      </x:c>
      <x:c r="B22" t="str">
        <x:v>销售员005</x:v>
      </x:c>
      <x:c r="C22" t="s">
        <x:v>244</x:v>
      </x:c>
      <x:c r="D22" t="str">
        <x:v>终端036</x:v>
      </x:c>
      <x:c r="E22"/>
      <x:c r="F22" t="s">
        <x:v>217</x:v>
      </x:c>
      <x:c r="G22" t="str">
        <x:v>已脱敏电话043</x:v>
      </x:c>
      <x:c r="H22">
        <x:v>150</x:v>
      </x:c>
      <x:c r="I22" t="s">
        <x:v>201</x:v>
      </x:c>
      <x:c r="J22" t="s">
        <x:v>202</x:v>
      </x:c>
      <x:c r="K22" t="s">
        <x:v>169</x:v>
      </x:c>
      <x:c r="L22" t="s">
        <x:v>69</x:v>
      </x:c>
      <x:c r="M22" t="s">
        <x:v>203</x:v>
      </x:c>
      <x:c r="N22" t="s">
        <x:v>168</x:v>
      </x:c>
      <x:c r="O22" t="s">
        <x:v>204</x:v>
      </x:c>
      <x:c r="P22"/>
      <x:c r="Q22"/>
    </x:row>
    <x:row r="23">
      <x:c r="A23">
        <x:v>20</x:v>
      </x:c>
      <x:c r="B23" t="str">
        <x:v>销售员006</x:v>
      </x:c>
      <x:c r="C23" t="s">
        <x:v>245</x:v>
      </x:c>
      <x:c r="D23" t="str">
        <x:v>终端050</x:v>
      </x:c>
      <x:c r="E23" t="str">
        <x:v>销售员012</x:v>
      </x:c>
      <x:c r="F23" t="s">
        <x:v>246</x:v>
      </x:c>
      <x:c r="G23" t="str">
        <x:v>已脱敏电话052</x:v>
      </x:c>
      <x:c r="H23">
        <x:v>150</x:v>
      </x:c>
      <x:c r="I23" t="s">
        <x:v>201</x:v>
      </x:c>
      <x:c r="J23" t="s">
        <x:v>202</x:v>
      </x:c>
      <x:c r="K23" t="s">
        <x:v>169</x:v>
      </x:c>
      <x:c r="L23" t="s">
        <x:v>69</x:v>
      </x:c>
      <x:c r="M23" t="s">
        <x:v>203</x:v>
      </x:c>
      <x:c r="N23" t="s">
        <x:v>155</x:v>
      </x:c>
      <x:c r="O23" t="s">
        <x:v>204</x:v>
      </x:c>
      <x:c r="P23"/>
      <x:c r="Q23"/>
    </x:row>
    <x:row r="24">
      <x:c r="A24">
        <x:v>21</x:v>
      </x:c>
      <x:c r="B24" t="str">
        <x:v>销售员006</x:v>
      </x:c>
      <x:c r="C24" t="s">
        <x:v>247</x:v>
      </x:c>
      <x:c r="D24" t="str">
        <x:v>终端051</x:v>
      </x:c>
      <x:c r="E24" t="str">
        <x:v>销售员012</x:v>
      </x:c>
      <x:c r="F24" t="s">
        <x:v>248</x:v>
      </x:c>
      <x:c r="G24" t="str">
        <x:v>已脱敏电话053</x:v>
      </x:c>
      <x:c r="H24">
        <x:v>150</x:v>
      </x:c>
      <x:c r="I24" t="s">
        <x:v>201</x:v>
      </x:c>
      <x:c r="J24" t="s">
        <x:v>202</x:v>
      </x:c>
      <x:c r="K24" t="s">
        <x:v>169</x:v>
      </x:c>
      <x:c r="L24" t="s">
        <x:v>69</x:v>
      </x:c>
      <x:c r="M24" t="s">
        <x:v>203</x:v>
      </x:c>
      <x:c r="N24" t="s">
        <x:v>155</x:v>
      </x:c>
      <x:c r="O24" t="s">
        <x:v>204</x:v>
      </x:c>
      <x:c r="P24"/>
      <x:c r="Q2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17" hidden="0" customWidth="1"/>
    <x:col min="4" max="4" width="20.75" hidden="0" customWidth="1"/>
    <x:col min="5" max="5" width="7.880000114440918" hidden="0" customWidth="1"/>
    <x:col min="6" max="6" width="7.880000114440918" hidden="0" customWidth="1"/>
    <x:col min="7" max="7" width="5.25" hidden="0" customWidth="1"/>
  </x:cols>
  <x:sheetData>
    <x:row r="1">
      <x:c r="A1" t="s">
        <x:v>148</x:v>
      </x:c>
      <x:c r="B1" t="s">
        <x:v>3</x:v>
      </x:c>
      <x:c r="C1" t="s">
        <x:v>249</x:v>
      </x:c>
      <x:c r="D1" t="s">
        <x:v>250</x:v>
      </x:c>
      <x:c r="E1" t="s">
        <x:v>251</x:v>
      </x:c>
      <x:c r="F1" t="s">
        <x:v>252</x:v>
      </x:c>
      <x:c r="G1" t="s">
        <x:v>64</x:v>
      </x:c>
    </x:row>
    <x:row r="2">
      <x:c r="A2">
        <x:v>1</x:v>
      </x:c>
      <x:c r="B2" t="str">
        <x:v>销售员004</x:v>
      </x:c>
      <x:c r="C2" t="s">
        <x:v>253</x:v>
      </x:c>
      <x:c r="D2" t="s">
        <x:v>254</x:v>
      </x:c>
      <x:c r="E2" t="s">
        <x:v>255</x:v>
      </x:c>
      <x:c r="F2" t="s">
        <x:v>256</x:v>
      </x:c>
      <x:c r="G2" t="s">
        <x:v>64</x:v>
      </x:c>
    </x:row>
    <x:row r="3">
      <x:c r="A3">
        <x:v>2</x:v>
      </x:c>
      <x:c r="B3" t="str">
        <x:v>销售员001</x:v>
      </x:c>
      <x:c r="C3" t="s">
        <x:v>257</x:v>
      </x:c>
      <x:c r="D3" t="s">
        <x:v>254</x:v>
      </x:c>
      <x:c r="E3" t="s">
        <x:v>255</x:v>
      </x:c>
      <x:c r="F3"/>
      <x:c r="G3" t="s">
        <x:v>64</x:v>
      </x:c>
    </x:row>
    <x:row r="4">
      <x:c r="A4">
        <x:v>3</x:v>
      </x:c>
      <x:c r="B4" t="str">
        <x:v>销售员001</x:v>
      </x:c>
      <x:c r="C4" t="s">
        <x:v>258</x:v>
      </x:c>
      <x:c r="D4" t="s">
        <x:v>254</x:v>
      </x:c>
      <x:c r="E4" t="s">
        <x:v>255</x:v>
      </x:c>
      <x:c r="F4"/>
      <x:c r="G4" t="s">
        <x:v>64</x:v>
      </x:c>
    </x:row>
    <x:row r="5">
      <x:c r="A5">
        <x:v>4</x:v>
      </x:c>
      <x:c r="B5" t="str">
        <x:v>销售员003</x:v>
      </x:c>
      <x:c r="C5" t="str">
        <x:v>终端062</x:v>
      </x:c>
      <x:c r="D5" t="s">
        <x:v>254</x:v>
      </x:c>
      <x:c r="E5" t="s">
        <x:v>255</x:v>
      </x:c>
      <x:c r="F5"/>
      <x:c r="G5" t="s">
        <x:v>64</x:v>
      </x:c>
    </x:row>
    <x:row r="6">
      <x:c r="A6">
        <x:v>5</x:v>
      </x:c>
      <x:c r="B6" t="str">
        <x:v>销售员005</x:v>
      </x:c>
      <x:c r="C6" t="str">
        <x:v>终端095</x:v>
      </x:c>
      <x:c r="D6" t="s">
        <x:v>254</x:v>
      </x:c>
      <x:c r="E6" t="s">
        <x:v>255</x:v>
      </x:c>
      <x:c r="F6"/>
      <x:c r="G6" t="s">
        <x:v>64</x:v>
      </x:c>
    </x:row>
    <x:row r="7">
      <x:c r="A7">
        <x:v>6</x:v>
      </x:c>
      <x:c r="B7" t="str">
        <x:v>销售员002</x:v>
      </x:c>
      <x:c r="C7" t="s">
        <x:v>259</x:v>
      </x:c>
      <x:c r="D7" t="s">
        <x:v>254</x:v>
      </x:c>
      <x:c r="E7" t="s">
        <x:v>255</x:v>
      </x:c>
      <x:c r="F7"/>
      <x:c r="G7" t="s">
        <x:v>64</x:v>
      </x:c>
    </x:row>
    <x:row r="8">
      <x:c r="A8">
        <x:v>7</x:v>
      </x:c>
      <x:c r="B8" t="str">
        <x:v>销售员001</x:v>
      </x:c>
      <x:c r="C8" t="s">
        <x:v>260</x:v>
      </x:c>
      <x:c r="D8" t="s">
        <x:v>254</x:v>
      </x:c>
      <x:c r="E8" t="s">
        <x:v>255</x:v>
      </x:c>
      <x:c r="F8"/>
      <x:c r="G8" t="s">
        <x:v>64</x:v>
      </x:c>
    </x:row>
    <x:row r="9">
      <x:c r="A9">
        <x:v>8</x:v>
      </x:c>
      <x:c r="B9" t="str">
        <x:v>销售员005</x:v>
      </x:c>
      <x:c r="C9" t="s">
        <x:v>261</x:v>
      </x:c>
      <x:c r="D9" t="s">
        <x:v>254</x:v>
      </x:c>
      <x:c r="E9" t="s">
        <x:v>255</x:v>
      </x:c>
      <x:c r="F9"/>
      <x:c r="G9" t="s">
        <x:v>64</x:v>
      </x:c>
    </x:row>
    <x:row r="10">
      <x:c r="A10">
        <x:v>9</x:v>
      </x:c>
      <x:c r="B10" t="str">
        <x:v>销售员006</x:v>
      </x:c>
      <x:c r="C10" t="s">
        <x:v>262</x:v>
      </x:c>
      <x:c r="D10" t="s">
        <x:v>254</x:v>
      </x:c>
      <x:c r="E10" t="s">
        <x:v>255</x:v>
      </x:c>
      <x:c r="F10"/>
      <x:c r="G10" t="s">
        <x:v>64</x:v>
      </x:c>
    </x:row>
    <x:row r="11">
      <x:c r="A11">
        <x:v>10</x:v>
      </x:c>
      <x:c r="B11" t="str">
        <x:v>销售员006</x:v>
      </x:c>
      <x:c r="C11" t="s">
        <x:v>263</x:v>
      </x:c>
      <x:c r="D11" t="s">
        <x:v>254</x:v>
      </x:c>
      <x:c r="E11" t="s">
        <x:v>255</x:v>
      </x:c>
      <x:c r="F11"/>
      <x:c r="G11" t="s">
        <x:v>64</x:v>
      </x:c>
    </x:row>
    <x:row r="12">
      <x:c r="A12">
        <x:v>11</x:v>
      </x:c>
      <x:c r="B12" t="str">
        <x:v>销售员003</x:v>
      </x:c>
      <x:c r="C12" t="s">
        <x:v>264</x:v>
      </x:c>
      <x:c r="D12" t="s">
        <x:v>254</x:v>
      </x:c>
      <x:c r="E12" t="s">
        <x:v>255</x:v>
      </x:c>
      <x:c r="F12"/>
      <x:c r="G12" t="s">
        <x:v>65</x:v>
      </x:c>
    </x:row>
    <x:row r="13">
      <x:c r="A13">
        <x:v>12</x:v>
      </x:c>
      <x:c r="B13" t="str">
        <x:v>销售员002</x:v>
      </x:c>
      <x:c r="C13" t="str">
        <x:v>终端052</x:v>
      </x:c>
      <x:c r="D13" t="s">
        <x:v>265</x:v>
      </x:c>
      <x:c r="E13" t="s">
        <x:v>255</x:v>
      </x:c>
      <x:c r="F13"/>
      <x:c r="G13" t="s">
        <x:v>65</x:v>
      </x:c>
    </x:row>
    <x:row r="14">
      <x:c r="A14">
        <x:v>13</x:v>
      </x:c>
      <x:c r="B14" t="str">
        <x:v>销售员001</x:v>
      </x:c>
      <x:c r="C14" t="s">
        <x:v>266</x:v>
      </x:c>
      <x:c r="D14" t="s">
        <x:v>267</x:v>
      </x:c>
      <x:c r="E14" t="s">
        <x:v>255</x:v>
      </x:c>
      <x:c r="F14"/>
      <x:c r="G14" t="s">
        <x:v>65</x:v>
      </x:c>
    </x:row>
    <x:row r="15">
      <x:c r="A15">
        <x:v>14</x:v>
      </x:c>
      <x:c r="B15" t="str">
        <x:v>销售员004</x:v>
      </x:c>
      <x:c r="C15" t="str">
        <x:v>终端164</x:v>
      </x:c>
      <x:c r="D15" t="s">
        <x:v>254</x:v>
      </x:c>
      <x:c r="E15" t="s">
        <x:v>255</x:v>
      </x:c>
      <x:c r="F15" t="s">
        <x:v>256</x:v>
      </x:c>
      <x:c r="G15" t="s">
        <x:v>66</x:v>
      </x:c>
    </x:row>
    <x:row r="16">
      <x:c r="A16">
        <x:v>15</x:v>
      </x:c>
      <x:c r="B16" t="str">
        <x:v>销售员001</x:v>
      </x:c>
      <x:c r="C16" t="s">
        <x:v>268</x:v>
      </x:c>
      <x:c r="D16" t="s">
        <x:v>254</x:v>
      </x:c>
      <x:c r="E16" t="s">
        <x:v>255</x:v>
      </x:c>
      <x:c r="F16"/>
      <x:c r="G16" t="s">
        <x:v>66</x:v>
      </x:c>
    </x:row>
    <x:row r="17">
      <x:c r="A17">
        <x:v>16</x:v>
      </x:c>
      <x:c r="B17" t="str">
        <x:v>销售员002</x:v>
      </x:c>
      <x:c r="C17" t="str">
        <x:v>终端058店</x:v>
      </x:c>
      <x:c r="D17" t="s">
        <x:v>265</x:v>
      </x:c>
      <x:c r="E17" t="s">
        <x:v>255</x:v>
      </x:c>
      <x:c r="F17" t="s">
        <x:v>269</x:v>
      </x:c>
      <x:c r="G17" t="s">
        <x:v>66</x:v>
      </x:c>
    </x:row>
    <x:row r="18">
      <x:c r="A18">
        <x:v>17</x:v>
      </x:c>
      <x:c r="B18" t="str">
        <x:v>销售员001</x:v>
      </x:c>
      <x:c r="C18" t="s">
        <x:v>266</x:v>
      </x:c>
      <x:c r="D18" t="s">
        <x:v>270</x:v>
      </x:c>
      <x:c r="E18" t="s">
        <x:v>255</x:v>
      </x:c>
      <x:c r="F18"/>
      <x:c r="G18" t="s">
        <x:v>66</x:v>
      </x:c>
    </x:row>
    <x:row r="19">
      <x:c r="A19">
        <x:v>18</x:v>
      </x:c>
      <x:c r="B19" t="str">
        <x:v>销售员003</x:v>
      </x:c>
      <x:c r="C19" t="str">
        <x:v>终端061</x:v>
      </x:c>
      <x:c r="D19" t="s">
        <x:v>270</x:v>
      </x:c>
      <x:c r="E19" t="s">
        <x:v>255</x:v>
      </x:c>
      <x:c r="F19" t="s">
        <x:v>269</x:v>
      </x:c>
      <x:c r="G19" t="s">
        <x:v>66</x:v>
      </x:c>
    </x:row>
    <x:row r="20">
      <x:c r="A20">
        <x:v>19</x:v>
      </x:c>
      <x:c r="B20" t="str">
        <x:v>销售员001</x:v>
      </x:c>
      <x:c r="C20" t="str">
        <x:v>小终端037</x:v>
      </x:c>
      <x:c r="D20" t="s">
        <x:v>254</x:v>
      </x:c>
      <x:c r="E20" t="s">
        <x:v>255</x:v>
      </x:c>
      <x:c r="F20"/>
      <x:c r="G20" t="s">
        <x:v>66</x:v>
      </x:c>
    </x:row>
    <x:row r="21">
      <x:c r="A21">
        <x:v>20</x:v>
      </x:c>
      <x:c r="B21" t="str">
        <x:v>销售员002</x:v>
      </x:c>
      <x:c r="C21" t="s">
        <x:v>271</x:v>
      </x:c>
      <x:c r="D21" t="s">
        <x:v>254</x:v>
      </x:c>
      <x:c r="E21" t="s">
        <x:v>255</x:v>
      </x:c>
      <x:c r="F21"/>
      <x:c r="G21" t="s">
        <x:v>66</x:v>
      </x:c>
    </x:row>
    <x:row r="22">
      <x:c r="A22">
        <x:v>21</x:v>
      </x:c>
      <x:c r="B22" t="str">
        <x:v>销售员001</x:v>
      </x:c>
      <x:c r="C22" t="s">
        <x:v>272</x:v>
      </x:c>
      <x:c r="D22" t="s">
        <x:v>254</x:v>
      </x:c>
      <x:c r="E22" t="s">
        <x:v>255</x:v>
      </x:c>
      <x:c r="F22"/>
      <x:c r="G22" t="s">
        <x:v>66</x:v>
      </x:c>
    </x:row>
    <x:row r="23">
      <x:c r="A23">
        <x:v>22</x:v>
      </x:c>
      <x:c r="B23" t="str">
        <x:v>销售员001</x:v>
      </x:c>
      <x:c r="C23" t="s">
        <x:v>273</x:v>
      </x:c>
      <x:c r="D23" t="s">
        <x:v>254</x:v>
      </x:c>
      <x:c r="E23" t="s">
        <x:v>255</x:v>
      </x:c>
      <x:c r="F23"/>
      <x:c r="G23" t="s">
        <x:v>66</x:v>
      </x:c>
    </x:row>
    <x:row r="24">
      <x:c r="A24">
        <x:v>23</x:v>
      </x:c>
      <x:c r="B24" t="str">
        <x:v>销售员006</x:v>
      </x:c>
      <x:c r="C24" t="s">
        <x:v>274</x:v>
      </x:c>
      <x:c r="D24" t="s">
        <x:v>275</x:v>
      </x:c>
      <x:c r="E24" t="s">
        <x:v>255</x:v>
      </x:c>
      <x:c r="F24"/>
      <x:c r="G24" t="s">
        <x:v>66</x:v>
      </x:c>
    </x:row>
    <x:row r="25">
      <x:c r="A25">
        <x:v>24</x:v>
      </x:c>
      <x:c r="B25" t="str">
        <x:v>销售员003</x:v>
      </x:c>
      <x:c r="C25" t="s">
        <x:v>276</x:v>
      </x:c>
      <x:c r="D25" t="s">
        <x:v>254</x:v>
      </x:c>
      <x:c r="E25" t="s">
        <x:v>255</x:v>
      </x:c>
      <x:c r="F25"/>
      <x:c r="G25" t="s">
        <x:v>66</x:v>
      </x:c>
    </x:row>
    <x:row r="26">
      <x:c r="A26">
        <x:v>25</x:v>
      </x:c>
      <x:c r="B26" t="str">
        <x:v>销售员002</x:v>
      </x:c>
      <x:c r="C26" t="s">
        <x:v>277</x:v>
      </x:c>
      <x:c r="D26" t="s">
        <x:v>254</x:v>
      </x:c>
      <x:c r="E26" t="s">
        <x:v>157</x:v>
      </x:c>
      <x:c r="F26"/>
      <x:c r="G26">
        <x:v>46133</x:v>
      </x:c>
    </x:row>
    <x:row r="27">
      <x:c r="A27">
        <x:v>26</x:v>
      </x:c>
      <x:c r="B27" t="str">
        <x:v>销售员006</x:v>
      </x:c>
      <x:c r="C27" t="s">
        <x:v>278</x:v>
      </x:c>
      <x:c r="D27" t="s">
        <x:v>254</x:v>
      </x:c>
      <x:c r="E27" t="s">
        <x:v>157</x:v>
      </x:c>
      <x:c r="F27"/>
      <x:c r="G27">
        <x:v>46133</x:v>
      </x:c>
    </x:row>
    <x:row r="28">
      <x:c r="A28">
        <x:v>27</x:v>
      </x:c>
      <x:c r="B28" t="str">
        <x:v>销售员006</x:v>
      </x:c>
      <x:c r="C28" t="s">
        <x:v>279</x:v>
      </x:c>
      <x:c r="D28" t="s">
        <x:v>254</x:v>
      </x:c>
      <x:c r="E28" t="s">
        <x:v>157</x:v>
      </x:c>
      <x:c r="F28"/>
      <x:c r="G28">
        <x:v>46133</x:v>
      </x:c>
    </x:row>
    <x:row r="29">
      <x:c r="A29">
        <x:v>28</x:v>
      </x:c>
      <x:c r="B29" t="str">
        <x:v>销售员001</x:v>
      </x:c>
      <x:c r="C29" t="s">
        <x:v>280</x:v>
      </x:c>
      <x:c r="D29" t="s">
        <x:v>254</x:v>
      </x:c>
      <x:c r="E29" t="s">
        <x:v>159</x:v>
      </x:c>
      <x:c r="F29"/>
      <x:c r="G29">
        <x:v>46133</x:v>
      </x:c>
    </x:row>
    <x:row r="30">
      <x:c r="A30">
        <x:v>29</x:v>
      </x:c>
      <x:c r="B30" t="str">
        <x:v>销售员005</x:v>
      </x:c>
      <x:c r="C30" t="s">
        <x:v>281</x:v>
      </x:c>
      <x:c r="D30" t="s">
        <x:v>254</x:v>
      </x:c>
      <x:c r="E30" t="s">
        <x:v>157</x:v>
      </x:c>
      <x:c r="F30"/>
      <x:c r="G30">
        <x:v>46133</x:v>
      </x:c>
    </x:row>
    <x:row r="31">
      <x:c r="A31">
        <x:v>30</x:v>
      </x:c>
      <x:c r="B31" t="str">
        <x:v>销售员003</x:v>
      </x:c>
      <x:c r="C31" t="s">
        <x:v>282</x:v>
      </x:c>
      <x:c r="D31" t="s">
        <x:v>283</x:v>
      </x:c>
      <x:c r="E31" t="s">
        <x:v>159</x:v>
      </x:c>
      <x:c r="F31"/>
      <x:c r="G31">
        <x:v>46133</x:v>
      </x:c>
    </x:row>
    <x:row r="32">
      <x:c r="A32">
        <x:v>31</x:v>
      </x:c>
      <x:c r="B32" t="str">
        <x:v>销售员004</x:v>
      </x:c>
      <x:c r="C32" t="s">
        <x:v>284</x:v>
      </x:c>
      <x:c r="D32" t="s">
        <x:v>254</x:v>
      </x:c>
      <x:c r="E32" t="s">
        <x:v>173</x:v>
      </x:c>
      <x:c r="F32"/>
      <x:c r="G32">
        <x:v>46133</x:v>
      </x:c>
    </x:row>
    <x:row r="33">
      <x:c r="A33">
        <x:v>32</x:v>
      </x:c>
      <x:c r="B33" t="str">
        <x:v>销售员003</x:v>
      </x:c>
      <x:c r="C33" t="str">
        <x:v>终端030</x:v>
      </x:c>
      <x:c r="D33" t="s">
        <x:v>285</x:v>
      </x:c>
      <x:c r="E33" t="s">
        <x:v>165</x:v>
      </x:c>
      <x:c r="F33"/>
      <x:c r="G33">
        <x:v>46133</x:v>
      </x:c>
    </x:row>
    <x:row r="34">
      <x:c r="A34">
        <x:v>33</x:v>
      </x:c>
      <x:c r="B34" t="str">
        <x:v>销售员003</x:v>
      </x:c>
      <x:c r="C34" t="s">
        <x:v>286</x:v>
      </x:c>
      <x:c r="D34" t="s">
        <x:v>254</x:v>
      </x:c>
      <x:c r="E34" t="s">
        <x:v>165</x:v>
      </x:c>
      <x:c r="F34"/>
      <x:c r="G34">
        <x:v>46133</x:v>
      </x:c>
    </x:row>
    <x:row r="35">
      <x:c r="A35">
        <x:v>34</x:v>
      </x:c>
      <x:c r="B35" t="str">
        <x:v>销售员006</x:v>
      </x:c>
      <x:c r="C35" t="s">
        <x:v>287</x:v>
      </x:c>
      <x:c r="D35" t="s">
        <x:v>254</x:v>
      </x:c>
      <x:c r="E35" t="s">
        <x:v>157</x:v>
      </x:c>
      <x:c r="F35"/>
      <x:c r="G35">
        <x:v>46163</x:v>
      </x:c>
    </x:row>
    <x:row r="36">
      <x:c r="A36">
        <x:v>35</x:v>
      </x:c>
      <x:c r="B36" t="str">
        <x:v>销售员001</x:v>
      </x:c>
      <x:c r="C36" t="s">
        <x:v>288</x:v>
      </x:c>
      <x:c r="D36" t="s">
        <x:v>254</x:v>
      </x:c>
      <x:c r="E36" t="s">
        <x:v>157</x:v>
      </x:c>
      <x:c r="F36"/>
      <x:c r="G36">
        <x:v>46163</x:v>
      </x:c>
    </x:row>
    <x:row r="37">
      <x:c r="A37">
        <x:v>36</x:v>
      </x:c>
      <x:c r="B37" t="str">
        <x:v>销售员002</x:v>
      </x:c>
      <x:c r="C37" t="s">
        <x:v>289</x:v>
      </x:c>
      <x:c r="D37" t="s">
        <x:v>254</x:v>
      </x:c>
      <x:c r="E37" t="s">
        <x:v>157</x:v>
      </x:c>
      <x:c r="F37"/>
      <x:c r="G37">
        <x:v>46163</x:v>
      </x:c>
    </x:row>
    <x:row r="38">
      <x:c r="A38">
        <x:v>37</x:v>
      </x:c>
      <x:c r="B38" t="str">
        <x:v>销售员002</x:v>
      </x:c>
      <x:c r="C38" t="str">
        <x:v>终端135</x:v>
      </x:c>
      <x:c r="D38" t="s">
        <x:v>254</x:v>
      </x:c>
      <x:c r="E38" t="s">
        <x:v>157</x:v>
      </x:c>
      <x:c r="F38"/>
      <x:c r="G38">
        <x:v>46163</x:v>
      </x:c>
    </x:row>
    <x:row r="39">
      <x:c r="A39">
        <x:v>38</x:v>
      </x:c>
      <x:c r="B39" t="str">
        <x:v>销售员006</x:v>
      </x:c>
      <x:c r="C39" t="s">
        <x:v>290</x:v>
      </x:c>
      <x:c r="D39" t="s">
        <x:v>254</x:v>
      </x:c>
      <x:c r="E39" t="s">
        <x:v>157</x:v>
      </x:c>
      <x:c r="F39"/>
      <x:c r="G39">
        <x:v>46163</x:v>
      </x:c>
    </x:row>
    <x:row r="40">
      <x:c r="A40">
        <x:v>39</x:v>
      </x:c>
      <x:c r="B40" t="str">
        <x:v>销售员003</x:v>
      </x:c>
      <x:c r="C40" t="s">
        <x:v>291</x:v>
      </x:c>
      <x:c r="D40" t="s">
        <x:v>254</x:v>
      </x:c>
      <x:c r="E40" t="s">
        <x:v>157</x:v>
      </x:c>
      <x:c r="F40"/>
      <x:c r="G40">
        <x:v>46163</x:v>
      </x:c>
    </x:row>
    <x:row r="41">
      <x:c r="A41">
        <x:v>40</x:v>
      </x:c>
      <x:c r="B41" t="str">
        <x:v>销售员005</x:v>
      </x:c>
      <x:c r="C41" t="s">
        <x:v>292</x:v>
      </x:c>
      <x:c r="D41" t="s">
        <x:v>254</x:v>
      </x:c>
      <x:c r="E41" t="s">
        <x:v>157</x:v>
      </x:c>
      <x:c r="F41"/>
      <x:c r="G41">
        <x:v>46163</x:v>
      </x:c>
    </x:row>
    <x:row r="42">
      <x:c r="A42">
        <x:v>41</x:v>
      </x:c>
      <x:c r="B42" t="str">
        <x:v>销售员001</x:v>
      </x:c>
      <x:c r="C42" t="s">
        <x:v>293</x:v>
      </x:c>
      <x:c r="D42" t="s">
        <x:v>254</x:v>
      </x:c>
      <x:c r="E42" t="s">
        <x:v>159</x:v>
      </x:c>
      <x:c r="F42"/>
      <x:c r="G42">
        <x:v>46163</x:v>
      </x:c>
    </x:row>
    <x:row r="43">
      <x:c r="A43">
        <x:v>42</x:v>
      </x:c>
      <x:c r="B43" t="str">
        <x:v>销售员003</x:v>
      </x:c>
      <x:c r="C43" t="s">
        <x:v>294</x:v>
      </x:c>
      <x:c r="D43" t="s">
        <x:v>254</x:v>
      </x:c>
      <x:c r="E43" t="s">
        <x:v>159</x:v>
      </x:c>
      <x:c r="F43"/>
      <x:c r="G43">
        <x:v>46163</x:v>
      </x:c>
    </x:row>
    <x:row r="44">
      <x:c r="A44">
        <x:v>43</x:v>
      </x:c>
      <x:c r="B44" t="str">
        <x:v>销售员006</x:v>
      </x:c>
      <x:c r="C44" t="str">
        <x:v>终端051</x:v>
      </x:c>
      <x:c r="D44" t="s">
        <x:v>295</x:v>
      </x:c>
      <x:c r="E44" t="s">
        <x:v>159</x:v>
      </x:c>
      <x:c r="F44"/>
      <x:c r="G44">
        <x:v>46163</x:v>
      </x:c>
    </x:row>
    <x:row r="45">
      <x:c r="A45">
        <x:v>44</x:v>
      </x:c>
      <x:c r="B45" t="str">
        <x:v>销售员004</x:v>
      </x:c>
      <x:c r="C45" t="s">
        <x:v>296</x:v>
      </x:c>
      <x:c r="D45" t="s">
        <x:v>254</x:v>
      </x:c>
      <x:c r="E45" t="s">
        <x:v>159</x:v>
      </x:c>
      <x:c r="F45"/>
      <x:c r="G45">
        <x:v>46163</x:v>
      </x:c>
    </x:row>
    <x:row r="46">
      <x:c r="A46">
        <x:v>45</x:v>
      </x:c>
      <x:c r="B46" t="str">
        <x:v>销售员002</x:v>
      </x:c>
      <x:c r="C46" t="s">
        <x:v>297</x:v>
      </x:c>
      <x:c r="D46" t="s">
        <x:v>254</x:v>
      </x:c>
      <x:c r="E46" t="s">
        <x:v>159</x:v>
      </x:c>
      <x:c r="F46"/>
      <x:c r="G46">
        <x:v>46163</x:v>
      </x:c>
    </x:row>
    <x:row r="47">
      <x:c r="A47">
        <x:v>46</x:v>
      </x:c>
      <x:c r="B47" t="str">
        <x:v>销售员006</x:v>
      </x:c>
      <x:c r="C47" t="s">
        <x:v>298</x:v>
      </x:c>
      <x:c r="D47" t="s">
        <x:v>254</x:v>
      </x:c>
      <x:c r="E47" t="s">
        <x:v>159</x:v>
      </x:c>
      <x:c r="F47"/>
      <x:c r="G47">
        <x:v>46163</x:v>
      </x:c>
    </x:row>
    <x:row r="48">
      <x:c r="A48">
        <x:v>47</x:v>
      </x:c>
      <x:c r="B48" t="str">
        <x:v>销售员003</x:v>
      </x:c>
      <x:c r="C48" t="s">
        <x:v>299</x:v>
      </x:c>
      <x:c r="D48" t="s">
        <x:v>283</x:v>
      </x:c>
      <x:c r="E48" t="s">
        <x:v>173</x:v>
      </x:c>
      <x:c r="F48"/>
      <x:c r="G48">
        <x:v>46163</x:v>
      </x:c>
    </x:row>
    <x:row r="49">
      <x:c r="A49">
        <x:v>48</x:v>
      </x:c>
      <x:c r="B49" t="str">
        <x:v>销售员001</x:v>
      </x:c>
      <x:c r="C49" t="s">
        <x:v>300</x:v>
      </x:c>
      <x:c r="D49" t="s">
        <x:v>254</x:v>
      </x:c>
      <x:c r="E49" t="s">
        <x:v>165</x:v>
      </x:c>
      <x:c r="F49"/>
      <x:c r="G49">
        <x:v>46163</x:v>
      </x:c>
    </x:row>
    <x:row r="50">
      <x:c r="A50">
        <x:v>49</x:v>
      </x:c>
      <x:c r="B50" t="str">
        <x:v>销售员005</x:v>
      </x:c>
      <x:c r="C50" t="str">
        <x:v>终端121</x:v>
      </x:c>
      <x:c r="D50" t="s">
        <x:v>254</x:v>
      </x:c>
      <x:c r="E50" t="s">
        <x:v>165</x:v>
      </x:c>
      <x:c r="F50"/>
      <x:c r="G50">
        <x:v>46163</x:v>
      </x:c>
    </x:row>
    <x:row r="51">
      <x:c r="A51">
        <x:v>50</x:v>
      </x:c>
      <x:c r="B51" t="str">
        <x:v>销售员001</x:v>
      </x:c>
      <x:c r="C51" t="s">
        <x:v>273</x:v>
      </x:c>
      <x:c r="D51" t="s">
        <x:v>254</x:v>
      </x:c>
      <x:c r="E51" t="s">
        <x:v>165</x:v>
      </x:c>
      <x:c r="F51"/>
      <x:c r="G51">
        <x:v>46163</x:v>
      </x:c>
    </x:row>
    <x:row r="52">
      <x:c r="A52">
        <x:v>51</x:v>
      </x:c>
      <x:c r="B52" t="str">
        <x:v>销售员001</x:v>
      </x:c>
      <x:c r="C52" t="s">
        <x:v>301</x:v>
      </x:c>
      <x:c r="D52" t="s">
        <x:v>254</x:v>
      </x:c>
      <x:c r="E52" t="s">
        <x:v>165</x:v>
      </x:c>
      <x:c r="F52"/>
      <x:c r="G52">
        <x:v>46163</x:v>
      </x:c>
    </x:row>
    <x:row r="53">
      <x:c r="A53">
        <x:v>52</x:v>
      </x:c>
      <x:c r="B53" t="str">
        <x:v>销售员001</x:v>
      </x:c>
      <x:c r="C53" t="s">
        <x:v>302</x:v>
      </x:c>
      <x:c r="D53" t="s">
        <x:v>254</x:v>
      </x:c>
      <x:c r="E53" t="s">
        <x:v>165</x:v>
      </x:c>
      <x:c r="F53"/>
      <x:c r="G53">
        <x:v>46163</x:v>
      </x:c>
    </x:row>
    <x:row r="54">
      <x:c r="A54">
        <x:v>53</x:v>
      </x:c>
      <x:c r="B54" t="str">
        <x:v>销售员005</x:v>
      </x:c>
      <x:c r="C54" t="str">
        <x:v>终端125</x:v>
      </x:c>
      <x:c r="D54" t="s">
        <x:v>254</x:v>
      </x:c>
      <x:c r="E54" t="s">
        <x:v>157</x:v>
      </x:c>
      <x:c r="F54"/>
      <x:c r="G54">
        <x:v>46194</x:v>
      </x:c>
    </x:row>
    <x:row r="55">
      <x:c r="A55">
        <x:v>54</x:v>
      </x:c>
      <x:c r="B55" t="str">
        <x:v>销售员004</x:v>
      </x:c>
      <x:c r="C55" t="s">
        <x:v>303</x:v>
      </x:c>
      <x:c r="D55" t="s">
        <x:v>254</x:v>
      </x:c>
      <x:c r="E55" t="s">
        <x:v>157</x:v>
      </x:c>
      <x:c r="F55"/>
      <x:c r="G55">
        <x:v>46194</x:v>
      </x:c>
    </x:row>
    <x:row r="56">
      <x:c r="A56">
        <x:v>55</x:v>
      </x:c>
      <x:c r="B56" t="str">
        <x:v>销售员003</x:v>
      </x:c>
      <x:c r="C56" t="s">
        <x:v>304</x:v>
      </x:c>
      <x:c r="D56" t="s">
        <x:v>254</x:v>
      </x:c>
      <x:c r="E56" t="s">
        <x:v>157</x:v>
      </x:c>
      <x:c r="F56"/>
      <x:c r="G56">
        <x:v>46194</x:v>
      </x:c>
    </x:row>
    <x:row r="57">
      <x:c r="A57">
        <x:v>56</x:v>
      </x:c>
      <x:c r="B57" t="str">
        <x:v>销售员002</x:v>
      </x:c>
      <x:c r="C57" t="s">
        <x:v>305</x:v>
      </x:c>
      <x:c r="D57" t="s">
        <x:v>254</x:v>
      </x:c>
      <x:c r="E57" t="s">
        <x:v>157</x:v>
      </x:c>
      <x:c r="F57"/>
      <x:c r="G57">
        <x:v>46194</x:v>
      </x:c>
    </x:row>
    <x:row r="58">
      <x:c r="A58">
        <x:v>57</x:v>
      </x:c>
      <x:c r="B58" t="str">
        <x:v>销售员006</x:v>
      </x:c>
      <x:c r="C58" t="s">
        <x:v>306</x:v>
      </x:c>
      <x:c r="D58" t="s">
        <x:v>254</x:v>
      </x:c>
      <x:c r="E58" t="s">
        <x:v>157</x:v>
      </x:c>
      <x:c r="F58"/>
      <x:c r="G58">
        <x:v>46194</x:v>
      </x:c>
    </x:row>
    <x:row r="59">
      <x:c r="A59">
        <x:v>58</x:v>
      </x:c>
      <x:c r="B59" t="str">
        <x:v>销售员005</x:v>
      </x:c>
      <x:c r="C59" t="s">
        <x:v>307</x:v>
      </x:c>
      <x:c r="D59" t="s">
        <x:v>254</x:v>
      </x:c>
      <x:c r="E59" t="s">
        <x:v>157</x:v>
      </x:c>
      <x:c r="F59"/>
      <x:c r="G59">
        <x:v>46194</x:v>
      </x:c>
    </x:row>
    <x:row r="60">
      <x:c r="A60">
        <x:v>59</x:v>
      </x:c>
      <x:c r="B60" t="str">
        <x:v>销售员004</x:v>
      </x:c>
      <x:c r="C60" t="str">
        <x:v>终端133</x:v>
      </x:c>
      <x:c r="D60" t="s">
        <x:v>254</x:v>
      </x:c>
      <x:c r="E60" t="s">
        <x:v>159</x:v>
      </x:c>
      <x:c r="F60"/>
      <x:c r="G60">
        <x:v>46194</x:v>
      </x:c>
    </x:row>
    <x:row r="61">
      <x:c r="A61">
        <x:v>60</x:v>
      </x:c>
      <x:c r="B61" t="str">
        <x:v>销售员001</x:v>
      </x:c>
      <x:c r="C61" t="s">
        <x:v>308</x:v>
      </x:c>
      <x:c r="D61" t="s">
        <x:v>254</x:v>
      </x:c>
      <x:c r="E61" t="s">
        <x:v>159</x:v>
      </x:c>
      <x:c r="F61"/>
      <x:c r="G61">
        <x:v>46194</x:v>
      </x:c>
    </x:row>
    <x:row r="62">
      <x:c r="A62">
        <x:v>61</x:v>
      </x:c>
      <x:c r="B62" t="str">
        <x:v>销售员002</x:v>
      </x:c>
      <x:c r="C62" t="s">
        <x:v>309</x:v>
      </x:c>
      <x:c r="D62" t="s">
        <x:v>254</x:v>
      </x:c>
      <x:c r="E62" t="s">
        <x:v>159</x:v>
      </x:c>
      <x:c r="F62"/>
      <x:c r="G62">
        <x:v>46194</x:v>
      </x:c>
    </x:row>
    <x:row r="63">
      <x:c r="A63">
        <x:v>62</x:v>
      </x:c>
      <x:c r="B63" t="str">
        <x:v>销售员001</x:v>
      </x:c>
      <x:c r="C63" t="s">
        <x:v>310</x:v>
      </x:c>
      <x:c r="D63" t="s">
        <x:v>254</x:v>
      </x:c>
      <x:c r="E63" t="s">
        <x:v>159</x:v>
      </x:c>
      <x:c r="F63"/>
      <x:c r="G63">
        <x:v>46194</x:v>
      </x:c>
    </x:row>
    <x:row r="64">
      <x:c r="A64">
        <x:v>63</x:v>
      </x:c>
      <x:c r="B64" t="str">
        <x:v>销售员003</x:v>
      </x:c>
      <x:c r="C64" t="str">
        <x:v>湘菜馆终端064</x:v>
      </x:c>
      <x:c r="D64" t="s">
        <x:v>283</x:v>
      </x:c>
      <x:c r="E64" t="s">
        <x:v>173</x:v>
      </x:c>
      <x:c r="F64"/>
      <x:c r="G64">
        <x:v>46194</x:v>
      </x:c>
    </x:row>
    <x:row r="65">
      <x:c r="A65">
        <x:v>64</x:v>
      </x:c>
      <x:c r="B65" t="str">
        <x:v>销售员001</x:v>
      </x:c>
      <x:c r="C65" t="s">
        <x:v>311</x:v>
      </x:c>
      <x:c r="D65" t="s">
        <x:v>254</x:v>
      </x:c>
      <x:c r="E65" t="s">
        <x:v>173</x:v>
      </x:c>
      <x:c r="F65"/>
      <x:c r="G65">
        <x:v>46194</x:v>
      </x:c>
    </x:row>
    <x:row r="66">
      <x:c r="A66">
        <x:v>65</x:v>
      </x:c>
      <x:c r="B66" t="str">
        <x:v>销售员006</x:v>
      </x:c>
      <x:c r="C66" t="s">
        <x:v>279</x:v>
      </x:c>
      <x:c r="D66" t="s">
        <x:v>254</x:v>
      </x:c>
      <x:c r="E66" t="s">
        <x:v>173</x:v>
      </x:c>
      <x:c r="F66"/>
      <x:c r="G66">
        <x:v>46194</x:v>
      </x:c>
    </x:row>
    <x:row r="67">
      <x:c r="A67">
        <x:v>66</x:v>
      </x:c>
      <x:c r="B67" t="str">
        <x:v>销售员006</x:v>
      </x:c>
      <x:c r="C67" t="s">
        <x:v>312</x:v>
      </x:c>
      <x:c r="D67" t="s">
        <x:v>254</x:v>
      </x:c>
      <x:c r="E67" t="s">
        <x:v>173</x:v>
      </x:c>
      <x:c r="F67"/>
      <x:c r="G67">
        <x:v>46194</x:v>
      </x:c>
    </x:row>
    <x:row r="68">
      <x:c r="A68">
        <x:v>67</x:v>
      </x:c>
      <x:c r="B68" t="str">
        <x:v>销售员006</x:v>
      </x:c>
      <x:c r="C68" t="s">
        <x:v>313</x:v>
      </x:c>
      <x:c r="D68" t="s">
        <x:v>254</x:v>
      </x:c>
      <x:c r="E68" t="s">
        <x:v>173</x:v>
      </x:c>
      <x:c r="F68"/>
      <x:c r="G68">
        <x:v>46194</x:v>
      </x:c>
    </x:row>
    <x:row r="69">
      <x:c r="A69">
        <x:v>68</x:v>
      </x:c>
      <x:c r="B69" t="str">
        <x:v>销售员006</x:v>
      </x:c>
      <x:c r="C69" t="s">
        <x:v>314</x:v>
      </x:c>
      <x:c r="D69" t="s">
        <x:v>254</x:v>
      </x:c>
      <x:c r="E69" t="s">
        <x:v>173</x:v>
      </x:c>
      <x:c r="F69"/>
      <x:c r="G69">
        <x:v>46194</x:v>
      </x:c>
    </x:row>
    <x:row r="70">
      <x:c r="A70">
        <x:v>69</x:v>
      </x:c>
      <x:c r="B70" t="str">
        <x:v>销售员006</x:v>
      </x:c>
      <x:c r="C70" t="s">
        <x:v>315</x:v>
      </x:c>
      <x:c r="D70" t="s">
        <x:v>254</x:v>
      </x:c>
      <x:c r="E70" t="s">
        <x:v>173</x:v>
      </x:c>
      <x:c r="F70"/>
      <x:c r="G70">
        <x:v>46194</x:v>
      </x:c>
    </x:row>
    <x:row r="71">
      <x:c r="A71">
        <x:v>70</x:v>
      </x:c>
      <x:c r="B71" t="str">
        <x:v>销售员003</x:v>
      </x:c>
      <x:c r="C71" t="s">
        <x:v>316</x:v>
      </x:c>
      <x:c r="D71" t="s">
        <x:v>254</x:v>
      </x:c>
      <x:c r="E71" t="s">
        <x:v>165</x:v>
      </x:c>
      <x:c r="F71"/>
      <x:c r="G71">
        <x:v>46194</x:v>
      </x:c>
    </x:row>
    <x:row r="72">
      <x:c r="A72">
        <x:v>71</x:v>
      </x:c>
      <x:c r="B72" t="str">
        <x:v>销售员006</x:v>
      </x:c>
      <x:c r="C72" t="s">
        <x:v>317</x:v>
      </x:c>
      <x:c r="D72" t="s">
        <x:v>254</x:v>
      </x:c>
      <x:c r="E72" t="s">
        <x:v>165</x:v>
      </x:c>
      <x:c r="F72"/>
      <x:c r="G72">
        <x:v>46194</x:v>
      </x:c>
    </x:row>
    <x:row r="73">
      <x:c r="A73">
        <x:v>72</x:v>
      </x:c>
      <x:c r="B73" t="str">
        <x:v>销售员002</x:v>
      </x:c>
      <x:c r="C73" t="str">
        <x:v>终端135</x:v>
      </x:c>
      <x:c r="D73" t="s">
        <x:v>254</x:v>
      </x:c>
      <x:c r="E73" t="s">
        <x:v>165</x:v>
      </x:c>
      <x:c r="F73"/>
      <x:c r="G73">
        <x:v>46194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11.880000114440918" hidden="0" customWidth="1"/>
    <x:col min="4" max="4" width="7.880000114440918" hidden="0" customWidth="1"/>
    <x:col min="5" max="5" width="8.880000114440918" hidden="0" customWidth="1"/>
    <x:col min="6" max="6" width="4.25" hidden="0" customWidth="1"/>
  </x:cols>
  <x:sheetData>
    <x:row r="1">
      <x:c r="A1" t="s">
        <x:v>148</x:v>
      </x:c>
      <x:c r="B1" t="s">
        <x:v>3</x:v>
      </x:c>
      <x:c r="C1" t="s">
        <x:v>318</x:v>
      </x:c>
      <x:c r="D1" t="s">
        <x:v>149</x:v>
      </x:c>
      <x:c r="E1" t="s">
        <x:v>319</x:v>
      </x:c>
      <x:c r="F1" t="s">
        <x:v>320</x:v>
      </x:c>
    </x:row>
    <x:row r="2">
      <x:c r="A2">
        <x:v>1</x:v>
      </x:c>
      <x:c r="B2" t="str">
        <x:v>销售员002</x:v>
      </x:c>
      <x:c r="C2" t="s">
        <x:v>321</x:v>
      </x:c>
      <x:c r="D2" t="str">
        <x:v>终端052</x:v>
      </x:c>
      <x:c r="E2" t="str">
        <x:v>销售员012</x:v>
      </x:c>
      <x:c r="F2" t="s">
        <x:v>65</x:v>
      </x:c>
    </x:row>
    <x:row r="3">
      <x:c r="A3">
        <x:v>1</x:v>
      </x:c>
      <x:c r="B3" t="str">
        <x:v>销售员004</x:v>
      </x:c>
      <x:c r="C3" t="s">
        <x:v>322</x:v>
      </x:c>
      <x:c r="D3" t="str">
        <x:v>终端053</x:v>
      </x:c>
      <x:c r="E3" t="s">
        <x:v>211</x:v>
      </x:c>
      <x:c r="F3" t="s">
        <x:v>66</x:v>
      </x:c>
    </x:row>
    <x:row r="4">
      <x:c r="A4">
        <x:v>2</x:v>
      </x:c>
      <x:c r="B4" t="str">
        <x:v>销售员004</x:v>
      </x:c>
      <x:c r="C4" t="s">
        <x:v>323</x:v>
      </x:c>
      <x:c r="D4" t="str">
        <x:v>终端054</x:v>
      </x:c>
      <x:c r="E4" t="str">
        <x:v>区域014</x:v>
      </x:c>
      <x:c r="F4" t="s">
        <x:v>66</x:v>
      </x:c>
    </x:row>
    <x:row r="5">
      <x:c r="A5">
        <x:v>3</x:v>
      </x:c>
      <x:c r="B5" t="str">
        <x:v>销售员003</x:v>
      </x:c>
      <x:c r="C5" t="s">
        <x:v>324</x:v>
      </x:c>
      <x:c r="D5" t="str">
        <x:v>终端055</x:v>
      </x:c>
      <x:c r="E5" t="str">
        <x:v>区域006</x:v>
      </x:c>
      <x:c r="F5" t="s">
        <x:v>66</x:v>
      </x:c>
    </x:row>
    <x:row r="6">
      <x:c r="A6">
        <x:v>4</x:v>
      </x:c>
      <x:c r="B6" t="str">
        <x:v>销售员001</x:v>
      </x:c>
      <x:c r="C6" t="s">
        <x:v>325</x:v>
      </x:c>
      <x:c r="D6" t="str">
        <x:v>终端056</x:v>
      </x:c>
      <x:c r="E6" t="s">
        <x:v>326</x:v>
      </x:c>
      <x:c r="F6" t="s">
        <x:v>66</x:v>
      </x:c>
    </x:row>
    <x:row r="7">
      <x:c r="A7">
        <x:v>5</x:v>
      </x:c>
      <x:c r="B7" t="str">
        <x:v>销售员004</x:v>
      </x:c>
      <x:c r="C7" t="s">
        <x:v>327</x:v>
      </x:c>
      <x:c r="D7" t="str">
        <x:v>终端057</x:v>
      </x:c>
      <x:c r="E7" t="s">
        <x:v>211</x:v>
      </x:c>
      <x:c r="F7" t="s">
        <x:v>66</x:v>
      </x:c>
    </x:row>
    <x:row r="8">
      <x:c r="A8">
        <x:v>6</x:v>
      </x:c>
      <x:c r="B8" t="str">
        <x:v>销售员004</x:v>
      </x:c>
      <x:c r="C8" t="s">
        <x:v>328</x:v>
      </x:c>
      <x:c r="D8" t="str">
        <x:v>终端042</x:v>
      </x:c>
      <x:c r="E8" t="str">
        <x:v>区域001</x:v>
      </x:c>
      <x:c r="F8" t="s">
        <x:v>66</x:v>
      </x:c>
    </x:row>
    <x:row r="9">
      <x:c r="A9">
        <x:v>7</x:v>
      </x:c>
      <x:c r="B9" t="str">
        <x:v>销售员002</x:v>
      </x:c>
      <x:c r="C9" t="s">
        <x:v>329</x:v>
      </x:c>
      <x:c r="D9" t="str">
        <x:v>终端058</x:v>
      </x:c>
      <x:c r="E9" t="str">
        <x:v>销售员012</x:v>
      </x:c>
      <x:c r="F9" t="s">
        <x:v>66</x:v>
      </x:c>
    </x:row>
    <x:row r="10">
      <x:c r="A10">
        <x:v>8</x:v>
      </x:c>
      <x:c r="B10" t="str">
        <x:v>销售员002</x:v>
      </x:c>
      <x:c r="C10" t="s">
        <x:v>330</x:v>
      </x:c>
      <x:c r="D10" t="str">
        <x:v>终端059</x:v>
      </x:c>
      <x:c r="E10" t="str">
        <x:v>销售员012</x:v>
      </x:c>
      <x:c r="F10" t="s">
        <x:v>66</x:v>
      </x:c>
    </x:row>
    <x:row r="11">
      <x:c r="A11">
        <x:v>9</x:v>
      </x:c>
      <x:c r="B11" t="str">
        <x:v>销售员003</x:v>
      </x:c>
      <x:c r="C11" t="s">
        <x:v>331</x:v>
      </x:c>
      <x:c r="D11" t="str">
        <x:v>终端060</x:v>
      </x:c>
      <x:c r="E11" t="str">
        <x:v>区域012</x:v>
      </x:c>
      <x:c r="F11" t="s">
        <x:v>66</x:v>
      </x:c>
    </x:row>
    <x:row r="12">
      <x:c r="A12">
        <x:v>10</x:v>
      </x:c>
      <x:c r="B12" t="str">
        <x:v>销售员004</x:v>
      </x:c>
      <x:c r="C12" t="s">
        <x:v>332</x:v>
      </x:c>
      <x:c r="D12" t="str">
        <x:v>终端061</x:v>
      </x:c>
      <x:c r="E12" t="str">
        <x:v>区域001</x:v>
      </x:c>
      <x:c r="F12" t="s">
        <x:v>66</x:v>
      </x:c>
    </x:row>
    <x:row r="13">
      <x:c r="A13">
        <x:v>11</x:v>
      </x:c>
      <x:c r="B13" t="str">
        <x:v>销售员004</x:v>
      </x:c>
      <x:c r="C13" t="s">
        <x:v>333</x:v>
      </x:c>
      <x:c r="D13" t="str">
        <x:v>终端054</x:v>
      </x:c>
      <x:c r="E13" t="str">
        <x:v>区域001</x:v>
      </x:c>
      <x:c r="F13" t="s">
        <x:v>66</x:v>
      </x:c>
    </x:row>
    <x:row r="14">
      <x:c r="A14">
        <x:v>12</x:v>
      </x:c>
      <x:c r="B14" t="str">
        <x:v>销售员003</x:v>
      </x:c>
      <x:c r="C14" t="s">
        <x:v>334</x:v>
      </x:c>
      <x:c r="D14" t="str">
        <x:v>终端062</x:v>
      </x:c>
      <x:c r="E14" t="str">
        <x:v>区域013</x:v>
      </x:c>
      <x:c r="F14" t="s">
        <x:v>66</x:v>
      </x:c>
    </x:row>
    <x:row r="15">
      <x:c r="A15">
        <x:v>13</x:v>
      </x:c>
      <x:c r="B15" t="str">
        <x:v>销售员001</x:v>
      </x:c>
      <x:c r="C15" t="s">
        <x:v>335</x:v>
      </x:c>
      <x:c r="D15" t="str">
        <x:v>终端063</x:v>
      </x:c>
      <x:c r="E15" t="s">
        <x:v>336</x:v>
      </x:c>
      <x:c r="F15" t="s">
        <x:v>66</x:v>
      </x:c>
    </x:row>
    <x:row r="16">
      <x:c r="A16">
        <x:v>14</x:v>
      </x:c>
      <x:c r="B16" t="str">
        <x:v>销售员004</x:v>
      </x:c>
      <x:c r="C16" t="s">
        <x:v>337</x:v>
      </x:c>
      <x:c r="D16" t="str">
        <x:v>终端064</x:v>
      </x:c>
      <x:c r="E16" t="str">
        <x:v>区域014</x:v>
      </x:c>
      <x:c r="F16" t="s">
        <x:v>66</x:v>
      </x:c>
    </x:row>
    <x:row r="17">
      <x:c r="A17">
        <x:v>15</x:v>
      </x:c>
      <x:c r="B17" t="str">
        <x:v>销售员002</x:v>
      </x:c>
      <x:c r="C17" t="s">
        <x:v>338</x:v>
      </x:c>
      <x:c r="D17" t="str">
        <x:v>终端056</x:v>
      </x:c>
      <x:c r="E17" t="s">
        <x:v>339</x:v>
      </x:c>
      <x:c r="F17" t="s">
        <x:v>66</x:v>
      </x:c>
    </x:row>
    <x:row r="18">
      <x:c r="A18">
        <x:v>16</x:v>
      </x:c>
      <x:c r="B18" t="str">
        <x:v>销售员003</x:v>
      </x:c>
      <x:c r="C18" t="s">
        <x:v>340</x:v>
      </x:c>
      <x:c r="D18" t="str">
        <x:v>终端065</x:v>
      </x:c>
      <x:c r="E18" t="str">
        <x:v>区域014</x:v>
      </x:c>
      <x:c r="F18" t="s">
        <x:v>66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8.880000114440918" hidden="0" customWidth="1"/>
    <x:col min="3" max="3" width="10.880000114440918" hidden="0" customWidth="1"/>
    <x:col min="4" max="4" width="7.880000114440918" hidden="0" customWidth="1"/>
    <x:col min="5" max="5" width="8.880000114440918" hidden="0" customWidth="1"/>
    <x:col min="6" max="6" width="4.25" hidden="0" customWidth="1"/>
  </x:cols>
  <x:sheetData>
    <x:row r="1">
      <x:c r="A1" t="s">
        <x:v>148</x:v>
      </x:c>
      <x:c r="B1" t="s">
        <x:v>3</x:v>
      </x:c>
      <x:c r="C1" t="s">
        <x:v>318</x:v>
      </x:c>
      <x:c r="D1" t="s">
        <x:v>149</x:v>
      </x:c>
      <x:c r="E1" t="s">
        <x:v>319</x:v>
      </x:c>
      <x:c r="F1" t="s">
        <x:v>320</x:v>
      </x:c>
    </x:row>
    <x:row r="2">
      <x:c r="A2">
        <x:v>1</x:v>
      </x:c>
      <x:c r="B2" t="str">
        <x:v>销售员004</x:v>
      </x:c>
      <x:c r="C2" t="s">
        <x:v>341</x:v>
      </x:c>
      <x:c r="D2" t="str">
        <x:v>终端066</x:v>
      </x:c>
      <x:c r="E2" t="str">
        <x:v>区域014</x:v>
      </x:c>
      <x:c r="F2" t="s">
        <x:v>64</x:v>
      </x:c>
    </x:row>
    <x:row r="3">
      <x:c r="A3">
        <x:v>2</x:v>
      </x:c>
      <x:c r="B3" t="str">
        <x:v>销售员004</x:v>
      </x:c>
      <x:c r="C3" t="s">
        <x:v>342</x:v>
      </x:c>
      <x:c r="D3" t="str">
        <x:v>终端067</x:v>
      </x:c>
      <x:c r="E3" t="str">
        <x:v>区域001</x:v>
      </x:c>
      <x:c r="F3" t="s">
        <x:v>64</x:v>
      </x:c>
    </x:row>
    <x:row r="4">
      <x:c r="A4">
        <x:v>1</x:v>
      </x:c>
      <x:c r="B4" t="str">
        <x:v>销售员004</x:v>
      </x:c>
      <x:c r="C4" t="s">
        <x:v>342</x:v>
      </x:c>
      <x:c r="D4" t="str">
        <x:v>终端067</x:v>
      </x:c>
      <x:c r="E4" t="str">
        <x:v>区域001</x:v>
      </x:c>
      <x:c r="F4" t="s">
        <x:v>66</x:v>
      </x:c>
    </x:row>
    <x:row r="5">
      <x:c r="A5">
        <x:v>2</x:v>
      </x:c>
      <x:c r="B5" t="str">
        <x:v>销售员001</x:v>
      </x:c>
      <x:c r="C5" t="s">
        <x:v>343</x:v>
      </x:c>
      <x:c r="D5" t="str">
        <x:v>终端068</x:v>
      </x:c>
      <x:c r="E5" t="s">
        <x:v>344</x:v>
      </x:c>
      <x:c r="F5" t="s">
        <x:v>66</x:v>
      </x:c>
    </x:row>
    <x:row r="6">
      <x:c r="A6">
        <x:v>3</x:v>
      </x:c>
      <x:c r="B6" t="str">
        <x:v>销售员004</x:v>
      </x:c>
      <x:c r="C6" t="s">
        <x:v>345</x:v>
      </x:c>
      <x:c r="D6" t="str">
        <x:v>终端069</x:v>
      </x:c>
      <x:c r="E6" t="s">
        <x:v>346</x:v>
      </x:c>
      <x:c r="F6" t="s">
        <x:v>66</x:v>
      </x:c>
    </x:row>
    <x:row r="7">
      <x:c r="A7">
        <x:v>4</x:v>
      </x:c>
      <x:c r="B7" t="str">
        <x:v>销售员003</x:v>
      </x:c>
      <x:c r="C7" t="s">
        <x:v>347</x:v>
      </x:c>
      <x:c r="D7" t="str">
        <x:v>终端070</x:v>
      </x:c>
      <x:c r="E7" t="str">
        <x:v>区域012</x:v>
      </x:c>
      <x:c r="F7" t="s">
        <x:v>66</x:v>
      </x:c>
    </x:row>
    <x:row r="8">
      <x:c r="A8">
        <x:v>5</x:v>
      </x:c>
      <x:c r="B8" t="str">
        <x:v>销售员002</x:v>
      </x:c>
      <x:c r="C8" t="s">
        <x:v>348</x:v>
      </x:c>
      <x:c r="D8" t="str">
        <x:v>终端071</x:v>
      </x:c>
      <x:c r="E8" t="s">
        <x:v>349</x:v>
      </x:c>
      <x:c r="F8" t="s">
        <x:v>66</x:v>
      </x:c>
    </x:row>
    <x:row r="9">
      <x:c r="A9">
        <x:v>6</x:v>
      </x:c>
      <x:c r="B9" t="str">
        <x:v>销售员002</x:v>
      </x:c>
      <x:c r="C9" t="s">
        <x:v>350</x:v>
      </x:c>
      <x:c r="D9" t="str">
        <x:v>终端072</x:v>
      </x:c>
      <x:c r="E9" t="s">
        <x:v>351</x:v>
      </x:c>
      <x:c r="F9" t="s">
        <x:v>66</x:v>
      </x:c>
    </x:row>
    <x:row r="10">
      <x:c r="A10">
        <x:v>7</x:v>
      </x:c>
      <x:c r="B10" t="str">
        <x:v>销售员003</x:v>
      </x:c>
      <x:c r="C10" t="s">
        <x:v>352</x:v>
      </x:c>
      <x:c r="D10" t="str">
        <x:v>终端073</x:v>
      </x:c>
      <x:c r="E10" t="str">
        <x:v>区域006</x:v>
      </x:c>
      <x:c r="F10" t="s">
        <x:v>66</x:v>
      </x:c>
    </x:row>
    <x:row r="11">
      <x:c r="A11">
        <x:v>8</x:v>
      </x:c>
      <x:c r="B11" t="str">
        <x:v>销售员001</x:v>
      </x:c>
      <x:c r="C11" t="s">
        <x:v>353</x:v>
      </x:c>
      <x:c r="D11" t="str">
        <x:v>终端074</x:v>
      </x:c>
      <x:c r="E11" t="s">
        <x:v>344</x:v>
      </x:c>
      <x:c r="F11" t="s">
        <x:v>66</x:v>
      </x:c>
    </x:row>
    <x:row r="12">
      <x:c r="A12">
        <x:v>9</x:v>
      </x:c>
      <x:c r="B12" t="str">
        <x:v>销售员003</x:v>
      </x:c>
      <x:c r="C12" t="s">
        <x:v>354</x:v>
      </x:c>
      <x:c r="D12" t="str">
        <x:v>终端075</x:v>
      </x:c>
      <x:c r="E12" t="str">
        <x:v>区域006</x:v>
      </x:c>
      <x:c r="F12" t="s">
        <x:v>66</x:v>
      </x:c>
    </x:row>
    <x:row r="13">
      <x:c r="A13">
        <x:v>10</x:v>
      </x:c>
      <x:c r="B13" t="str">
        <x:v>销售员003</x:v>
      </x:c>
      <x:c r="C13" t="s">
        <x:v>355</x:v>
      </x:c>
      <x:c r="D13" t="str">
        <x:v>终端076</x:v>
      </x:c>
      <x:c r="E13" t="str">
        <x:v>区域006</x:v>
      </x:c>
      <x:c r="F13" t="s">
        <x:v>66</x:v>
      </x:c>
    </x:row>
    <x:row r="14">
      <x:c r="A14">
        <x:v>11</x:v>
      </x:c>
      <x:c r="B14" t="str">
        <x:v>销售员002</x:v>
      </x:c>
      <x:c r="C14" t="s">
        <x:v>356</x:v>
      </x:c>
      <x:c r="D14" t="str">
        <x:v>终端077</x:v>
      </x:c>
      <x:c r="E14" t="str">
        <x:v>销售员012</x:v>
      </x:c>
      <x:c r="F14" t="s">
        <x:v>66</x:v>
      </x:c>
    </x:row>
    <x:row r="15">
      <x:c r="A15">
        <x:v>12</x:v>
      </x:c>
      <x:c r="B15" t="str">
        <x:v>销售员002</x:v>
      </x:c>
      <x:c r="C15" t="s">
        <x:v>357</x:v>
      </x:c>
      <x:c r="D15" t="str">
        <x:v>终端078</x:v>
      </x:c>
      <x:c r="E15" t="str">
        <x:v>区域002</x:v>
      </x:c>
      <x:c r="F15" t="s">
        <x:v>66</x:v>
      </x:c>
    </x:row>
    <x:row r="16">
      <x:c r="A16">
        <x:v>13</x:v>
      </x:c>
      <x:c r="B16" t="str">
        <x:v>销售员001</x:v>
      </x:c>
      <x:c r="C16" t="s">
        <x:v>358</x:v>
      </x:c>
      <x:c r="D16" t="str">
        <x:v>终端079</x:v>
      </x:c>
      <x:c r="E16" t="s">
        <x:v>359</x:v>
      </x:c>
      <x:c r="F16" t="s">
        <x:v>66</x:v>
      </x:c>
    </x:row>
    <x:row r="17">
      <x:c r="A17">
        <x:v>14</x:v>
      </x:c>
      <x:c r="B17" t="str">
        <x:v>销售员004</x:v>
      </x:c>
      <x:c r="C17" t="s">
        <x:v>360</x:v>
      </x:c>
      <x:c r="D17" t="str">
        <x:v>终端080</x:v>
      </x:c>
      <x:c r="E17" t="str">
        <x:v>区域001</x:v>
      </x:c>
      <x:c r="F17" t="s">
        <x:v>66</x:v>
      </x:c>
    </x:row>
    <x:row r="18">
      <x:c r="A18">
        <x:v>15</x:v>
      </x:c>
      <x:c r="B18" t="str">
        <x:v>销售员003</x:v>
      </x:c>
      <x:c r="C18" t="s">
        <x:v>361</x:v>
      </x:c>
      <x:c r="D18" t="str">
        <x:v>终端081</x:v>
      </x:c>
      <x:c r="E18" t="s">
        <x:v>211</x:v>
      </x:c>
      <x:c r="F18" t="s">
        <x:v>66</x:v>
      </x:c>
    </x:row>
    <x:row r="19">
      <x:c r="A19">
        <x:v>16</x:v>
      </x:c>
      <x:c r="B19" t="str">
        <x:v>销售员003</x:v>
      </x:c>
      <x:c r="C19" t="s">
        <x:v>362</x:v>
      </x:c>
      <x:c r="D19" t="str">
        <x:v>终端082</x:v>
      </x:c>
      <x:c r="E19" t="str">
        <x:v>区域006</x:v>
      </x:c>
      <x:c r="F19" t="s">
        <x:v>66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1.880000114440918" hidden="0" customWidth="1"/>
    <x:col min="3" max="3" width="7.880000114440918" hidden="0" customWidth="1"/>
    <x:col min="4" max="4" width="7.880000114440918" hidden="0" customWidth="1"/>
    <x:col min="5" max="5" width="4.25" hidden="0" customWidth="1"/>
    <x:col min="6" max="6" width="11.880000114440918" hidden="0" customWidth="1"/>
    <x:col min="7" max="7" width="7.880000114440918" hidden="0" customWidth="1"/>
    <x:col min="8" max="8" width="7.880000114440918" hidden="0" customWidth="1"/>
  </x:cols>
  <x:sheetData>
    <x:row r="1">
      <x:c r="A1" t="s">
        <x:v>148</x:v>
      </x:c>
      <x:c r="B1" t="s">
        <x:v>318</x:v>
      </x:c>
      <x:c r="C1" t="s">
        <x:v>149</x:v>
      </x:c>
      <x:c r="D1" t="s">
        <x:v>363</x:v>
      </x:c>
      <x:c r="E1" t="s">
        <x:v>148</x:v>
      </x:c>
      <x:c r="F1" t="s">
        <x:v>318</x:v>
      </x:c>
      <x:c r="G1" t="s">
        <x:v>149</x:v>
      </x:c>
      <x:c r="H1" t="s">
        <x:v>363</x:v>
      </x:c>
    </x:row>
    <x:row r="2">
      <x:c r="A2">
        <x:v>1</x:v>
      </x:c>
      <x:c r="B2" t="s">
        <x:v>208</x:v>
      </x:c>
      <x:c r="C2" t="str">
        <x:v>终端022</x:v>
      </x:c>
      <x:c r="D2" t="s">
        <x:v>155</x:v>
      </x:c>
      <x:c r="E2">
        <x:v>17</x:v>
      </x:c>
      <x:c r="F2" t="s">
        <x:v>364</x:v>
      </x:c>
      <x:c r="G2" t="str">
        <x:v>终端098</x:v>
      </x:c>
      <x:c r="H2" t="s">
        <x:v>169</x:v>
      </x:c>
    </x:row>
    <x:row r="3">
      <x:c r="A3">
        <x:v>2</x:v>
      </x:c>
      <x:c r="B3" t="s">
        <x:v>365</x:v>
      </x:c>
      <x:c r="C3" t="str">
        <x:v>终端083</x:v>
      </x:c>
      <x:c r="D3" t="s">
        <x:v>155</x:v>
      </x:c>
      <x:c r="E3">
        <x:v>18</x:v>
      </x:c>
      <x:c r="F3" t="s">
        <x:v>366</x:v>
      </x:c>
      <x:c r="G3" t="str">
        <x:v>终端099</x:v>
      </x:c>
      <x:c r="H3" t="s">
        <x:v>169</x:v>
      </x:c>
    </x:row>
    <x:row r="4">
      <x:c r="A4">
        <x:v>3</x:v>
      </x:c>
      <x:c r="B4" t="s">
        <x:v>367</x:v>
      </x:c>
      <x:c r="C4" t="str">
        <x:v>终端084</x:v>
      </x:c>
      <x:c r="D4" t="s">
        <x:v>155</x:v>
      </x:c>
      <x:c r="E4">
        <x:v>19</x:v>
      </x:c>
      <x:c r="F4" t="s">
        <x:v>368</x:v>
      </x:c>
      <x:c r="G4" t="str">
        <x:v>终端100</x:v>
      </x:c>
      <x:c r="H4" t="s">
        <x:v>169</x:v>
      </x:c>
    </x:row>
    <x:row r="5">
      <x:c r="A5">
        <x:v>4</x:v>
      </x:c>
      <x:c r="B5" t="s">
        <x:v>369</x:v>
      </x:c>
      <x:c r="C5" t="str">
        <x:v>终端085</x:v>
      </x:c>
      <x:c r="D5" t="s">
        <x:v>155</x:v>
      </x:c>
      <x:c r="E5">
        <x:v>20</x:v>
      </x:c>
      <x:c r="F5" t="s">
        <x:v>370</x:v>
      </x:c>
      <x:c r="G5" t="str">
        <x:v>终端101</x:v>
      </x:c>
      <x:c r="H5" t="s">
        <x:v>169</x:v>
      </x:c>
    </x:row>
    <x:row r="6">
      <x:c r="A6">
        <x:v>5</x:v>
      </x:c>
      <x:c r="B6" t="s">
        <x:v>371</x:v>
      </x:c>
      <x:c r="C6" t="str">
        <x:v>终端086</x:v>
      </x:c>
      <x:c r="D6" t="s">
        <x:v>155</x:v>
      </x:c>
      <x:c r="E6">
        <x:v>21</x:v>
      </x:c>
      <x:c r="F6" t="s">
        <x:v>372</x:v>
      </x:c>
      <x:c r="G6" t="str">
        <x:v>终端102</x:v>
      </x:c>
      <x:c r="H6" t="s">
        <x:v>169</x:v>
      </x:c>
    </x:row>
    <x:row r="7">
      <x:c r="A7">
        <x:v>6</x:v>
      </x:c>
      <x:c r="B7" t="s">
        <x:v>373</x:v>
      </x:c>
      <x:c r="C7" t="str">
        <x:v>终端087</x:v>
      </x:c>
      <x:c r="D7" t="s">
        <x:v>168</x:v>
      </x:c>
      <x:c r="E7">
        <x:v>22</x:v>
      </x:c>
      <x:c r="F7" t="s">
        <x:v>374</x:v>
      </x:c>
      <x:c r="G7" t="str">
        <x:v>终端103</x:v>
      </x:c>
      <x:c r="H7" t="s">
        <x:v>169</x:v>
      </x:c>
    </x:row>
    <x:row r="8">
      <x:c r="A8">
        <x:v>7</x:v>
      </x:c>
      <x:c r="B8" t="s">
        <x:v>375</x:v>
      </x:c>
      <x:c r="C8" t="str">
        <x:v>终端088</x:v>
      </x:c>
      <x:c r="D8" t="s">
        <x:v>168</x:v>
      </x:c>
      <x:c r="E8">
        <x:v>23</x:v>
      </x:c>
      <x:c r="F8" t="s">
        <x:v>376</x:v>
      </x:c>
      <x:c r="G8" t="str">
        <x:v>终端104</x:v>
      </x:c>
      <x:c r="H8" t="s">
        <x:v>169</x:v>
      </x:c>
    </x:row>
    <x:row r="9">
      <x:c r="A9">
        <x:v>8</x:v>
      </x:c>
      <x:c r="B9" t="s">
        <x:v>377</x:v>
      </x:c>
      <x:c r="C9" t="str">
        <x:v>终端089</x:v>
      </x:c>
      <x:c r="D9" t="s">
        <x:v>168</x:v>
      </x:c>
      <x:c r="E9">
        <x:v>24</x:v>
      </x:c>
      <x:c r="F9" t="s">
        <x:v>378</x:v>
      </x:c>
      <x:c r="G9" t="str">
        <x:v>终端105</x:v>
      </x:c>
      <x:c r="H9" t="s">
        <x:v>169</x:v>
      </x:c>
    </x:row>
    <x:row r="10">
      <x:c r="A10">
        <x:v>9</x:v>
      </x:c>
      <x:c r="B10" t="s">
        <x:v>379</x:v>
      </x:c>
      <x:c r="C10" t="str">
        <x:v>终端090</x:v>
      </x:c>
      <x:c r="D10" t="s">
        <x:v>168</x:v>
      </x:c>
      <x:c r="E10">
        <x:v>25</x:v>
      </x:c>
      <x:c r="F10" t="s">
        <x:v>380</x:v>
      </x:c>
      <x:c r="G10" t="str">
        <x:v>终端106</x:v>
      </x:c>
      <x:c r="H10" t="s">
        <x:v>169</x:v>
      </x:c>
    </x:row>
    <x:row r="11">
      <x:c r="A11">
        <x:v>10</x:v>
      </x:c>
      <x:c r="B11" t="s">
        <x:v>381</x:v>
      </x:c>
      <x:c r="C11" t="str">
        <x:v>终端091</x:v>
      </x:c>
      <x:c r="D11" t="s">
        <x:v>169</x:v>
      </x:c>
      <x:c r="E11">
        <x:v>26</x:v>
      </x:c>
      <x:c r="F11" t="s">
        <x:v>382</x:v>
      </x:c>
      <x:c r="G11" t="str">
        <x:v>终端107</x:v>
      </x:c>
      <x:c r="H11" t="s">
        <x:v>169</x:v>
      </x:c>
    </x:row>
    <x:row r="12">
      <x:c r="A12">
        <x:v>11</x:v>
      </x:c>
      <x:c r="B12" t="s">
        <x:v>383</x:v>
      </x:c>
      <x:c r="C12" t="str">
        <x:v>终端092</x:v>
      </x:c>
      <x:c r="D12" t="s">
        <x:v>169</x:v>
      </x:c>
      <x:c r="E12">
        <x:v>27</x:v>
      </x:c>
      <x:c r="F12" t="s">
        <x:v>384</x:v>
      </x:c>
      <x:c r="G12" t="str">
        <x:v>终端108</x:v>
      </x:c>
      <x:c r="H12" t="s">
        <x:v>169</x:v>
      </x:c>
    </x:row>
    <x:row r="13">
      <x:c r="A13">
        <x:v>12</x:v>
      </x:c>
      <x:c r="B13" t="s">
        <x:v>385</x:v>
      </x:c>
      <x:c r="C13" t="str">
        <x:v>终端093</x:v>
      </x:c>
      <x:c r="D13" t="s">
        <x:v>169</x:v>
      </x:c>
      <x:c r="E13">
        <x:v>28</x:v>
      </x:c>
      <x:c r="F13" t="s">
        <x:v>386</x:v>
      </x:c>
      <x:c r="G13" t="str">
        <x:v>终端109</x:v>
      </x:c>
      <x:c r="H13" t="s">
        <x:v>169</x:v>
      </x:c>
    </x:row>
    <x:row r="14">
      <x:c r="A14">
        <x:v>13</x:v>
      </x:c>
      <x:c r="B14" t="s">
        <x:v>387</x:v>
      </x:c>
      <x:c r="C14" t="str">
        <x:v>终端094</x:v>
      </x:c>
      <x:c r="D14" t="s">
        <x:v>169</x:v>
      </x:c>
      <x:c r="E14">
        <x:v>29</x:v>
      </x:c>
      <x:c r="F14" t="s">
        <x:v>388</x:v>
      </x:c>
      <x:c r="G14" t="str">
        <x:v>终端110</x:v>
      </x:c>
      <x:c r="H14" t="s">
        <x:v>169</x:v>
      </x:c>
    </x:row>
    <x:row r="15">
      <x:c r="A15">
        <x:v>14</x:v>
      </x:c>
      <x:c r="B15" t="s">
        <x:v>389</x:v>
      </x:c>
      <x:c r="C15" t="str">
        <x:v>终端095</x:v>
      </x:c>
      <x:c r="D15" t="s">
        <x:v>169</x:v>
      </x:c>
      <x:c r="E15">
        <x:v>30</x:v>
      </x:c>
      <x:c r="F15" t="s">
        <x:v>390</x:v>
      </x:c>
      <x:c r="G15" t="str">
        <x:v>终端111</x:v>
      </x:c>
      <x:c r="H15" t="s">
        <x:v>169</x:v>
      </x:c>
    </x:row>
    <x:row r="16">
      <x:c r="A16">
        <x:v>15</x:v>
      </x:c>
      <x:c r="B16" t="s">
        <x:v>391</x:v>
      </x:c>
      <x:c r="C16" t="str">
        <x:v>终端096</x:v>
      </x:c>
      <x:c r="D16" t="s">
        <x:v>169</x:v>
      </x:c>
      <x:c r="E16">
        <x:v>31</x:v>
      </x:c>
      <x:c r="F16" t="s">
        <x:v>392</x:v>
      </x:c>
      <x:c r="G16" t="str">
        <x:v>终端112</x:v>
      </x:c>
      <x:c r="H16" t="s">
        <x:v>169</x:v>
      </x:c>
    </x:row>
    <x:row r="17">
      <x:c r="A17">
        <x:v>16</x:v>
      </x:c>
      <x:c r="B17" t="s">
        <x:v>393</x:v>
      </x:c>
      <x:c r="C17" t="str">
        <x:v>终端097</x:v>
      </x:c>
      <x:c r="D17" t="s">
        <x:v>169</x:v>
      </x:c>
      <x:c r="E17">
        <x:v>32</x:v>
      </x:c>
      <x:c r="F17" t="s">
        <x:v>394</x:v>
      </x:c>
      <x:c r="G17" t="str">
        <x:v>终端113</x:v>
      </x:c>
      <x:c r="H17" t="s">
        <x:v>169</x:v>
      </x:c>
    </x:row>
    <x:row r="18">
      <x:c r="A18"/>
      <x:c r="B18"/>
      <x:c r="C18"/>
      <x:c r="D18"/>
      <x:c r="E18">
        <x:v>33</x:v>
      </x:c>
      <x:c r="F18" t="s">
        <x:v>395</x:v>
      </x:c>
      <x:c r="G18" t="str">
        <x:v>终端114</x:v>
      </x:c>
      <x:c r="H18" t="s">
        <x:v>396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1.880000114440918" hidden="0" customWidth="1"/>
    <x:col min="3" max="3" width="7.880000114440918" hidden="0" customWidth="1"/>
    <x:col min="4" max="4" width="7.880000114440918" hidden="0" customWidth="1"/>
    <x:col min="5" max="5" width="46.5" hidden="0" customWidth="1"/>
    <x:col min="6" max="6" width="16.5" hidden="0" customWidth="1"/>
    <x:col min="7" max="7" width="7.880000114440918" hidden="0" customWidth="1"/>
    <x:col min="8" max="8" width="7.880000114440918" hidden="0" customWidth="1"/>
  </x:cols>
  <x:sheetData>
    <x:row r="1">
      <x:c r="A1" t="s">
        <x:v>148</x:v>
      </x:c>
      <x:c r="B1" t="s">
        <x:v>318</x:v>
      </x:c>
      <x:c r="C1" t="s">
        <x:v>149</x:v>
      </x:c>
      <x:c r="D1" t="s">
        <x:v>397</x:v>
      </x:c>
      <x:c r="E1" t="s">
        <x:v>398</x:v>
      </x:c>
      <x:c r="F1" t="s">
        <x:v>399</x:v>
      </x:c>
      <x:c r="G1" t="s">
        <x:v>363</x:v>
      </x:c>
      <x:c r="H1" t="s">
        <x:v>400</x:v>
      </x:c>
    </x:row>
    <x:row r="2">
      <x:c r="A2">
        <x:v>1</x:v>
      </x:c>
      <x:c r="B2" t="s">
        <x:v>401</x:v>
      </x:c>
      <x:c r="C2" t="str">
        <x:v>终端115</x:v>
      </x:c>
      <x:c r="D2">
        <x:v>110</x:v>
      </x:c>
      <x:c r="E2" t="s">
        <x:v>402</x:v>
      </x:c>
      <x:c r="F2" t="s">
        <x:v>403</x:v>
      </x:c>
      <x:c r="G2" t="s">
        <x:v>169</x:v>
      </x:c>
      <x:c r="H2" t="s">
        <x:v>404</x:v>
      </x:c>
    </x:row>
    <x:row r="3">
      <x:c r="A3">
        <x:v>2</x:v>
      </x:c>
      <x:c r="B3" t="s">
        <x:v>405</x:v>
      </x:c>
      <x:c r="C3" t="str">
        <x:v>终端116</x:v>
      </x:c>
      <x:c r="D3">
        <x:v>90</x:v>
      </x:c>
      <x:c r="E3" t="s">
        <x:v>402</x:v>
      </x:c>
      <x:c r="F3" t="s">
        <x:v>406</x:v>
      </x:c>
      <x:c r="G3" t="s">
        <x:v>169</x:v>
      </x:c>
      <x:c r="H3" t="s">
        <x:v>202</x:v>
      </x:c>
    </x:row>
    <x:row r="4">
      <x:c r="A4">
        <x:v>3</x:v>
      </x:c>
      <x:c r="B4" t="s">
        <x:v>407</x:v>
      </x:c>
      <x:c r="C4" t="str">
        <x:v>终端117</x:v>
      </x:c>
      <x:c r="D4">
        <x:v>130</x:v>
      </x:c>
      <x:c r="E4" t="s">
        <x:v>86</x:v>
      </x:c>
      <x:c r="F4" t="s">
        <x:v>403</x:v>
      </x:c>
      <x:c r="G4" t="s">
        <x:v>168</x:v>
      </x:c>
      <x:c r="H4" t="s">
        <x:v>404</x:v>
      </x:c>
    </x:row>
    <x:row r="5">
      <x:c r="A5">
        <x:v>4</x:v>
      </x:c>
      <x:c r="B5" t="s">
        <x:v>408</x:v>
      </x:c>
      <x:c r="C5" t="str">
        <x:v>终端118</x:v>
      </x:c>
      <x:c r="D5">
        <x:v>210</x:v>
      </x:c>
      <x:c r="E5" t="s">
        <x:v>409</x:v>
      </x:c>
      <x:c r="F5" t="s">
        <x:v>202</x:v>
      </x:c>
      <x:c r="G5" t="s">
        <x:v>168</x:v>
      </x:c>
      <x:c r="H5" t="s">
        <x:v>404</x:v>
      </x:c>
    </x:row>
    <x:row r="6">
      <x:c r="A6">
        <x:v>5</x:v>
      </x:c>
      <x:c r="B6" t="s">
        <x:v>410</x:v>
      </x:c>
      <x:c r="C6" t="str">
        <x:v>终端119</x:v>
      </x:c>
      <x:c r="D6">
        <x:v>160</x:v>
      </x:c>
      <x:c r="E6" t="s">
        <x:v>411</x:v>
      </x:c>
      <x:c r="F6" t="s">
        <x:v>202</x:v>
      </x:c>
      <x:c r="G6" t="s">
        <x:v>169</x:v>
      </x:c>
      <x:c r="H6" t="s">
        <x:v>404</x:v>
      </x:c>
    </x:row>
    <x:row r="7">
      <x:c r="A7">
        <x:v>6</x:v>
      </x:c>
      <x:c r="B7" t="s">
        <x:v>412</x:v>
      </x:c>
      <x:c r="C7" t="str">
        <x:v>终端120</x:v>
      </x:c>
      <x:c r="D7">
        <x:v>300</x:v>
      </x:c>
      <x:c r="E7" t="s">
        <x:v>411</x:v>
      </x:c>
      <x:c r="F7" t="s">
        <x:v>202</x:v>
      </x:c>
      <x:c r="G7" t="s">
        <x:v>168</x:v>
      </x:c>
      <x:c r="H7" t="s">
        <x:v>404</x:v>
      </x:c>
    </x:row>
    <x:row r="8">
      <x:c r="A8">
        <x:v>7</x:v>
      </x:c>
      <x:c r="B8" t="s">
        <x:v>413</x:v>
      </x:c>
      <x:c r="C8" t="str">
        <x:v>终端121</x:v>
      </x:c>
      <x:c r="D8">
        <x:v>60</x:v>
      </x:c>
      <x:c r="E8" t="s">
        <x:v>414</x:v>
      </x:c>
      <x:c r="F8" t="s">
        <x:v>202</x:v>
      </x:c>
      <x:c r="G8" t="s">
        <x:v>169</x:v>
      </x:c>
      <x:c r="H8" t="s">
        <x:v>404</x:v>
      </x:c>
    </x:row>
    <x:row r="9">
      <x:c r="A9">
        <x:v>8</x:v>
      </x:c>
      <x:c r="B9" t="s">
        <x:v>415</x:v>
      </x:c>
      <x:c r="C9" t="str">
        <x:v>终端122</x:v>
      </x:c>
      <x:c r="D9">
        <x:v>130</x:v>
      </x:c>
      <x:c r="E9" t="s">
        <x:v>411</x:v>
      </x:c>
      <x:c r="F9" t="s">
        <x:v>404</x:v>
      </x:c>
      <x:c r="G9" t="s">
        <x:v>169</x:v>
      </x:c>
      <x:c r="H9" t="s">
        <x:v>404</x:v>
      </x:c>
    </x:row>
    <x:row r="10">
      <x:c r="A10">
        <x:v>9</x:v>
      </x:c>
      <x:c r="B10" t="s">
        <x:v>416</x:v>
      </x:c>
      <x:c r="C10" t="str">
        <x:v>终端123</x:v>
      </x:c>
      <x:c r="D10">
        <x:v>260</x:v>
      </x:c>
      <x:c r="E10" t="s">
        <x:v>411</x:v>
      </x:c>
      <x:c r="F10" t="s">
        <x:v>202</x:v>
      </x:c>
      <x:c r="G10" t="s">
        <x:v>169</x:v>
      </x:c>
      <x:c r="H10" t="s">
        <x:v>404</x:v>
      </x:c>
    </x:row>
    <x:row r="11">
      <x:c r="A11">
        <x:v>10</x:v>
      </x:c>
      <x:c r="B11" t="s">
        <x:v>417</x:v>
      </x:c>
      <x:c r="C11" t="str">
        <x:v>终端124</x:v>
      </x:c>
      <x:c r="D11">
        <x:v>180</x:v>
      </x:c>
      <x:c r="E11" t="s">
        <x:v>411</x:v>
      </x:c>
      <x:c r="F11" t="s">
        <x:v>202</x:v>
      </x:c>
      <x:c r="G11" t="s">
        <x:v>168</x:v>
      </x:c>
      <x:c r="H11" t="s">
        <x:v>404</x:v>
      </x:c>
    </x:row>
    <x:row r="12">
      <x:c r="A12">
        <x:v>11</x:v>
      </x:c>
      <x:c r="B12" t="s">
        <x:v>418</x:v>
      </x:c>
      <x:c r="C12" t="str">
        <x:v>终端125</x:v>
      </x:c>
      <x:c r="D12">
        <x:v>160</x:v>
      </x:c>
      <x:c r="E12" t="s">
        <x:v>411</x:v>
      </x:c>
      <x:c r="F12" t="s">
        <x:v>202</x:v>
      </x:c>
      <x:c r="G12" t="s">
        <x:v>169</x:v>
      </x:c>
      <x:c r="H12" t="s">
        <x:v>404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5.25" hidden="0" customWidth="1"/>
    <x:col min="3" max="3" width="5.130000114440918" hidden="0" customWidth="1"/>
    <x:col min="4" max="4" width="5.25" hidden="0" customWidth="1"/>
    <x:col min="5" max="5" width="5.25" hidden="0" customWidth="1"/>
    <x:col min="6" max="6" width="10.380000114440918" hidden="0" customWidth="1"/>
    <x:col min="7" max="7" width="9.75" hidden="0" customWidth="1"/>
    <x:col min="8" max="8" width="4.25" hidden="0" customWidth="1"/>
    <x:col min="9" max="9" width="7.880000114440918" hidden="0" customWidth="1"/>
    <x:col min="10" max="10" width="9.75" hidden="0" customWidth="1"/>
    <x:col min="11" max="11" width="4.25" hidden="0" customWidth="1"/>
    <x:col min="12" max="12" width="7.880000114440918" hidden="0" customWidth="1"/>
  </x:cols>
  <x:sheetData>
    <x:row r="1">
      <x:c r="A1" t="s">
        <x:v>3</x:v>
      </x:c>
      <x:c r="B1" t="s">
        <x:v>419</x:v>
      </x:c>
      <x:c r="C1" t="s">
        <x:v>420</x:v>
      </x:c>
      <x:c r="D1" t="s">
        <x:v>421</x:v>
      </x:c>
      <x:c r="E1" t="s">
        <x:v>422</x:v>
      </x:c>
      <x:c r="F1" t="s">
        <x:v>57</x:v>
      </x:c>
      <x:c r="G1" t="s">
        <x:v>423</x:v>
      </x:c>
      <x:c r="H1" t="s">
        <x:v>424</x:v>
      </x:c>
      <x:c r="I1" t="s">
        <x:v>425</x:v>
      </x:c>
      <x:c r="J1" t="s">
        <x:v>426</x:v>
      </x:c>
      <x:c r="K1" t="s">
        <x:v>424</x:v>
      </x:c>
      <x:c r="L1" t="s">
        <x:v>425</x:v>
      </x:c>
    </x:row>
    <x:row r="2">
      <x:c r="A2" t="str">
        <x:v>销售员003</x:v>
      </x:c>
      <x:c r="B2">
        <x:v>7</x:v>
      </x:c>
      <x:c r="C2"/>
      <x:c r="D2">
        <x:v>1</x:v>
      </x:c>
      <x:c r="E2">
        <x:v>34</x:v>
      </x:c>
      <x:c r="F2" t="n">
        <x:v>0</x:v>
      </x:c>
      <x:c r="G2">
        <x:v>2</x:v>
      </x:c>
      <x:c r="H2"/>
      <x:c r="I2">
        <x:v>2</x:v>
      </x:c>
      <x:c r="J2">
        <x:v>20</x:v>
      </x:c>
      <x:c r="K2"/>
      <x:c r="L2">
        <x:v>4</x:v>
      </x:c>
    </x:row>
    <x:row r="3">
      <x:c r="A3" t="str">
        <x:v>销售员004</x:v>
      </x:c>
      <x:c r="B3">
        <x:v>24</x:v>
      </x:c>
      <x:c r="C3">
        <x:v>3</x:v>
      </x:c>
      <x:c r="D3">
        <x:v>6</x:v>
      </x:c>
      <x:c r="E3">
        <x:v>31</x:v>
      </x:c>
      <x:c r="F3" t="n">
        <x:f>SUM(B3:E3)</x:f>
        <x:v>0</x:v>
      </x:c>
      <x:c r="G3">
        <x:v>11</x:v>
      </x:c>
      <x:c r="H3">
        <x:v>3</x:v>
      </x:c>
      <x:c r="I3">
        <x:v>8</x:v>
      </x:c>
      <x:c r="J3">
        <x:v>46</x:v>
      </x:c>
      <x:c r="K3">
        <x:v>4</x:v>
      </x:c>
      <x:c r="L3">
        <x:v>5</x:v>
      </x:c>
    </x:row>
    <x:row r="4">
      <x:c r="A4" t="str">
        <x:v>销售员002</x:v>
      </x:c>
      <x:c r="B4">
        <x:v>25</x:v>
      </x:c>
      <x:c r="C4">
        <x:v>4</x:v>
      </x:c>
      <x:c r="D4">
        <x:v>5</x:v>
      </x:c>
      <x:c r="E4">
        <x:v>28</x:v>
      </x:c>
      <x:c r="F4" t="n">
        <x:f>SUM(B4:E4)</x:f>
        <x:v>0</x:v>
      </x:c>
      <x:c r="G4">
        <x:v>14</x:v>
      </x:c>
      <x:c r="H4">
        <x:v>2</x:v>
      </x:c>
      <x:c r="I4">
        <x:v>12</x:v>
      </x:c>
      <x:c r="J4">
        <x:v>46</x:v>
      </x:c>
      <x:c r="K4">
        <x:v>2</x:v>
      </x:c>
      <x:c r="L4">
        <x:v>7</x:v>
      </x:c>
    </x:row>
    <x:row r="5">
      <x:c r="A5" t="str">
        <x:v>销售员001</x:v>
      </x:c>
      <x:c r="B5">
        <x:v>7</x:v>
      </x:c>
      <x:c r="C5">
        <x:v>3</x:v>
      </x:c>
      <x:c r="D5"/>
      <x:c r="E5">
        <x:v>14</x:v>
      </x:c>
      <x:c r="F5" t="n">
        <x:f>SUM(B5:E5)</x:f>
        <x:v>0</x:v>
      </x:c>
      <x:c r="G5">
        <x:v>3</x:v>
      </x:c>
      <x:c r="H5"/>
      <x:c r="I5">
        <x:v>3</x:v>
      </x:c>
      <x:c r="J5">
        <x:v>13</x:v>
      </x:c>
      <x:c r="K5"/>
      <x:c r="L5"/>
    </x:row>
    <x:row r="6">
      <x:c r="A6" t="s">
        <x:v>57</x:v>
      </x:c>
      <x:c r="B6" t="n">
        <x:v>0</x:v>
      </x:c>
      <x:c r="C6">
        <x:v>10</x:v>
      </x:c>
      <x:c r="D6">
        <x:v>12</x:v>
      </x:c>
      <x:c r="E6">
        <x:v>107</x:v>
      </x:c>
      <x:c r="F6">
        <x:v>192</x:v>
      </x:c>
      <x:c r="G6" t="n">
        <x:v>0</x:v>
      </x:c>
      <x:c r="H6">
        <x:v>5</x:v>
      </x:c>
      <x:c r="I6">
        <x:v>25</x:v>
      </x:c>
      <x:c r="J6" t="n">
        <x:v>0</x:v>
      </x:c>
      <x:c r="K6">
        <x:v>6</x:v>
      </x:c>
      <x:c r="L6">
        <x:v>16</x:v>
      </x:c>
    </x:row>
    <x:row r="7">
      <x:c r="A7"/>
      <x:c r="B7"/>
      <x:c r="C7"/>
      <x:c r="D7"/>
      <x:c r="E7"/>
      <x:c r="F7"/>
      <x:c r="G7"/>
      <x:c r="H7"/>
      <x:c r="I7"/>
      <x:c r="J7"/>
      <x:c r="K7"/>
      <x:c r="L7"/>
    </x:row>
    <x:row r="8">
      <x:c r="A8"/>
      <x:c r="B8"/>
      <x:c r="C8"/>
      <x:c r="D8"/>
      <x:c r="E8"/>
      <x:c r="F8" t="n">
        <x:v>0.07865168539325842</x:v>
      </x:c>
      <x:c r="G8"/>
      <x:c r="H8"/>
      <x:c r="I8"/>
      <x:c r="J8"/>
      <x:c r="K8"/>
      <x:c r="L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39.5" hidden="0" customWidth="1"/>
    <x:col min="3" max="3" width="9" hidden="0" customWidth="1"/>
    <x:col min="4" max="4" width="9" hidden="0" customWidth="1"/>
  </x:cols>
  <x:sheetData>
    <x:row r="1">
      <x:c r="A1" t="s">
        <x:v>3</x:v>
      </x:c>
      <x:c r="B1" t="s">
        <x:v>88</x:v>
      </x:c>
      <x:c r="C1" t="s">
        <x:v>89</x:v>
      </x:c>
      <x:c r="D1" t="s">
        <x:v>90</x:v>
      </x:c>
    </x:row>
    <x:row r="2">
      <x:c r="A2" t="str">
        <x:v>销售员003</x:v>
      </x:c>
      <x:c r="B2" t="s">
        <x:v>92</x:v>
      </x:c>
      <x:c r="C2">
        <x:v>23</x:v>
      </x:c>
      <x:c r="D2">
        <x:v>0.14</x:v>
      </x:c>
    </x:row>
    <x:row r="3">
      <x:c r="A3" t="str">
        <x:v>销售员003</x:v>
      </x:c>
      <x:c r="B3" t="s">
        <x:v>93</x:v>
      </x:c>
      <x:c r="C3">
        <x:v>3128</x:v>
      </x:c>
      <x:c r="D3">
        <x:v>20.057</x:v>
      </x:c>
    </x:row>
    <x:row r="4">
      <x:c r="A4" t="str">
        <x:v>销售员003</x:v>
      </x:c>
      <x:c r="B4" t="s">
        <x:v>95</x:v>
      </x:c>
      <x:c r="C4">
        <x:v>15338.1</x:v>
      </x:c>
      <x:c r="D4">
        <x:v>93.133</x:v>
      </x:c>
    </x:row>
    <x:row r="5">
      <x:c r="A5" t="str">
        <x:v>销售员003</x:v>
      </x:c>
      <x:c r="B5" t="s">
        <x:v>100</x:v>
      </x:c>
      <x:c r="C5">
        <x:v>1152.6</x:v>
      </x:c>
      <x:c r="D5">
        <x:v>7.39</x:v>
      </x:c>
    </x:row>
    <x:row r="6">
      <x:c r="A6" t="str">
        <x:v>销售员003</x:v>
      </x:c>
      <x:c r="B6" t="s">
        <x:v>107</x:v>
      </x:c>
      <x:c r="C6">
        <x:v>20</x:v>
      </x:c>
      <x:c r="D6">
        <x:v>0.155</x:v>
      </x:c>
    </x:row>
    <x:row r="7">
      <x:c r="A7" t="str">
        <x:v>销售员003</x:v>
      </x:c>
      <x:c r="B7" t="s">
        <x:v>108</x:v>
      </x:c>
      <x:c r="C7">
        <x:v>27.3</x:v>
      </x:c>
      <x:c r="D7">
        <x:v>0.165</x:v>
      </x:c>
    </x:row>
    <x:row r="8">
      <x:c r="A8" t="str">
        <x:v>销售员003</x:v>
      </x:c>
      <x:c r="B8" t="s">
        <x:v>109</x:v>
      </x:c>
      <x:c r="C8">
        <x:v>64</x:v>
      </x:c>
      <x:c r="D8">
        <x:v>0.377</x:v>
      </x:c>
    </x:row>
    <x:row r="9">
      <x:c r="A9" t="str">
        <x:v>销售员003</x:v>
      </x:c>
      <x:c r="B9" t="s">
        <x:v>110</x:v>
      </x:c>
      <x:c r="C9">
        <x:v>264</x:v>
      </x:c>
      <x:c r="D9">
        <x:v>1.693</x:v>
      </x:c>
    </x:row>
    <x:row r="10">
      <x:c r="A10" t="str">
        <x:v>销售员003</x:v>
      </x:c>
      <x:c r="B10" t="s">
        <x:v>112</x:v>
      </x:c>
      <x:c r="C10">
        <x:v>3742</x:v>
      </x:c>
      <x:c r="D10">
        <x:v>27.266</x:v>
      </x:c>
    </x:row>
    <x:row r="11">
      <x:c r="A11" t="str">
        <x:v>销售员003</x:v>
      </x:c>
      <x:c r="B11" t="s">
        <x:v>113</x:v>
      </x:c>
      <x:c r="C11">
        <x:v>82</x:v>
      </x:c>
      <x:c r="D11">
        <x:v>0.498</x:v>
      </x:c>
    </x:row>
    <x:row r="12">
      <x:c r="A12" t="str">
        <x:v>销售员003</x:v>
      </x:c>
      <x:c r="B12" t="s">
        <x:v>114</x:v>
      </x:c>
      <x:c r="C12">
        <x:v>56</x:v>
      </x:c>
      <x:c r="D12">
        <x:v>0.408</x:v>
      </x:c>
    </x:row>
    <x:row r="13">
      <x:c r="A13" t="str">
        <x:v>销售员003</x:v>
      </x:c>
      <x:c r="B13" t="s">
        <x:v>115</x:v>
      </x:c>
      <x:c r="C13">
        <x:v>2365</x:v>
      </x:c>
      <x:c r="D13">
        <x:v>17.233</x:v>
      </x:c>
    </x:row>
    <x:row r="14">
      <x:c r="A14" t="str">
        <x:v>销售员003</x:v>
      </x:c>
      <x:c r="B14" t="s">
        <x:v>118</x:v>
      </x:c>
      <x:c r="C14">
        <x:v>9219.3</x:v>
      </x:c>
      <x:c r="D14">
        <x:v>55.98</x:v>
      </x:c>
    </x:row>
    <x:row r="15">
      <x:c r="A15" t="str">
        <x:v>销售员003</x:v>
      </x:c>
      <x:c r="B15" t="s">
        <x:v>125</x:v>
      </x:c>
      <x:c r="C15">
        <x:v>56</x:v>
      </x:c>
      <x:c r="D15">
        <x:v>0.449</x:v>
      </x:c>
    </x:row>
    <x:row r="16">
      <x:c r="A16" t="str">
        <x:v>销售员003</x:v>
      </x:c>
      <x:c r="B16" t="s">
        <x:v>119</x:v>
      </x:c>
      <x:c r="C16">
        <x:v>10.9</x:v>
      </x:c>
      <x:c r="D16">
        <x:v>0.066</x:v>
      </x:c>
    </x:row>
    <x:row r="17">
      <x:c r="A17" t="str">
        <x:v>销售员003</x:v>
      </x:c>
      <x:c r="B17" t="s">
        <x:v>120</x:v>
      </x:c>
      <x:c r="C17">
        <x:v>15</x:v>
      </x:c>
      <x:c r="D17">
        <x:v>0.089</x:v>
      </x:c>
    </x:row>
    <x:row r="18">
      <x:c r="A18" t="str">
        <x:v>销售员003</x:v>
      </x:c>
      <x:c r="B18" t="s">
        <x:v>126</x:v>
      </x:c>
      <x:c r="C18">
        <x:v>195</x:v>
      </x:c>
      <x:c r="D18">
        <x:v>1.16</x:v>
      </x:c>
    </x:row>
    <x:row r="19">
      <x:c r="A19" t="str">
        <x:v>销售员003</x:v>
      </x:c>
      <x:c r="B19" t="s">
        <x:v>127</x:v>
      </x:c>
      <x:c r="C19">
        <x:v>5</x:v>
      </x:c>
      <x:c r="D19">
        <x:v>0.03</x:v>
      </x:c>
    </x:row>
    <x:row r="20">
      <x:c r="A20" t="str">
        <x:v>销售员003</x:v>
      </x:c>
      <x:c r="B20" t="s">
        <x:v>128</x:v>
      </x:c>
      <x:c r="C20">
        <x:v>186.6</x:v>
      </x:c>
      <x:c r="D20">
        <x:v>1.133</x:v>
      </x:c>
    </x:row>
    <x:row r="21">
      <x:c r="A21" t="str">
        <x:v>销售员003</x:v>
      </x:c>
      <x:c r="B21" t="s">
        <x:v>129</x:v>
      </x:c>
      <x:c r="C21">
        <x:v>28</x:v>
      </x:c>
      <x:c r="D21">
        <x:v>0.17</x:v>
      </x:c>
    </x:row>
    <x:row r="22">
      <x:c r="A22"/>
      <x:c r="B22" t="s">
        <x:v>133</x:v>
      </x:c>
      <x:c r="C22">
        <x:v>35977.8</x:v>
      </x:c>
      <x:c r="D22">
        <x:v>227.592</x:v>
      </x:c>
    </x:row>
    <x:row r="23">
      <x:c r="A23" t="s">
        <x:v>121</x:v>
      </x:c>
      <x:c r="B23"/>
      <x:c r="C23"/>
      <x:c r="D23"/>
    </x:row>
    <x:row r="24">
      <x:c r="A24" t="s">
        <x:v>122</x:v>
      </x:c>
      <x:c r="B24"/>
      <x:c r="C24"/>
      <x:c r="D24"/>
    </x:row>
    <x:row r="25">
      <x:c r="A25" t="s">
        <x:v>3</x:v>
      </x:c>
      <x:c r="B25" t="s">
        <x:v>88</x:v>
      </x:c>
      <x:c r="C25" t="s">
        <x:v>89</x:v>
      </x:c>
      <x:c r="D25" t="s">
        <x:v>90</x:v>
      </x:c>
    </x:row>
    <x:row r="26">
      <x:c r="A26" t="str">
        <x:v>销售员004</x:v>
      </x:c>
      <x:c r="B26" t="s">
        <x:v>92</x:v>
      </x:c>
      <x:c r="C26">
        <x:v>316</x:v>
      </x:c>
      <x:c r="D26">
        <x:v>1.919</x:v>
      </x:c>
    </x:row>
    <x:row r="27">
      <x:c r="A27" t="str">
        <x:v>销售员004</x:v>
      </x:c>
      <x:c r="B27" t="s">
        <x:v>93</x:v>
      </x:c>
      <x:c r="C27">
        <x:v>2536.5</x:v>
      </x:c>
      <x:c r="D27">
        <x:v>16.264</x:v>
      </x:c>
    </x:row>
    <x:row r="28">
      <x:c r="A28" t="str">
        <x:v>销售员004</x:v>
      </x:c>
      <x:c r="B28" t="s">
        <x:v>95</x:v>
      </x:c>
      <x:c r="C28">
        <x:v>17370.7</x:v>
      </x:c>
      <x:c r="D28">
        <x:v>105.475</x:v>
      </x:c>
    </x:row>
    <x:row r="29">
      <x:c r="A29" t="str">
        <x:v>销售员004</x:v>
      </x:c>
      <x:c r="B29" t="s">
        <x:v>123</x:v>
      </x:c>
      <x:c r="C29">
        <x:v>162</x:v>
      </x:c>
      <x:c r="D29">
        <x:v>0.984</x:v>
      </x:c>
    </x:row>
    <x:row r="30">
      <x:c r="A30" t="str">
        <x:v>销售员004</x:v>
      </x:c>
      <x:c r="B30" t="s">
        <x:v>99</x:v>
      </x:c>
      <x:c r="C30">
        <x:v>5</x:v>
      </x:c>
      <x:c r="D30">
        <x:v>0.036</x:v>
      </x:c>
    </x:row>
    <x:row r="31">
      <x:c r="A31" t="str">
        <x:v>销售员004</x:v>
      </x:c>
      <x:c r="B31" t="s">
        <x:v>100</x:v>
      </x:c>
      <x:c r="C31">
        <x:v>656</x:v>
      </x:c>
      <x:c r="D31">
        <x:v>4.206</x:v>
      </x:c>
    </x:row>
    <x:row r="32">
      <x:c r="A32" t="str">
        <x:v>销售员004</x:v>
      </x:c>
      <x:c r="B32" t="s">
        <x:v>107</x:v>
      </x:c>
      <x:c r="C32">
        <x:v>13</x:v>
      </x:c>
      <x:c r="D32">
        <x:v>0.101</x:v>
      </x:c>
    </x:row>
    <x:row r="33">
      <x:c r="A33" t="str">
        <x:v>销售员004</x:v>
      </x:c>
      <x:c r="B33" t="s">
        <x:v>124</x:v>
      </x:c>
      <x:c r="C33">
        <x:v>140</x:v>
      </x:c>
      <x:c r="D33">
        <x:v>0.85</x:v>
      </x:c>
    </x:row>
    <x:row r="34">
      <x:c r="A34" t="str">
        <x:v>销售员004</x:v>
      </x:c>
      <x:c r="B34" t="s">
        <x:v>108</x:v>
      </x:c>
      <x:c r="C34">
        <x:v>29.9</x:v>
      </x:c>
      <x:c r="D34">
        <x:v>0.182</x:v>
      </x:c>
    </x:row>
    <x:row r="35">
      <x:c r="A35" t="str">
        <x:v>销售员004</x:v>
      </x:c>
      <x:c r="B35" t="s">
        <x:v>109</x:v>
      </x:c>
      <x:c r="C35">
        <x:v>46</x:v>
      </x:c>
      <x:c r="D35">
        <x:v>0.271</x:v>
      </x:c>
    </x:row>
    <x:row r="36">
      <x:c r="A36" t="str">
        <x:v>销售员004</x:v>
      </x:c>
      <x:c r="B36" t="s">
        <x:v>112</x:v>
      </x:c>
      <x:c r="C36">
        <x:v>3134</x:v>
      </x:c>
      <x:c r="D36">
        <x:v>22.836</x:v>
      </x:c>
    </x:row>
    <x:row r="37">
      <x:c r="A37" t="str">
        <x:v>销售员004</x:v>
      </x:c>
      <x:c r="B37" t="s">
        <x:v>113</x:v>
      </x:c>
      <x:c r="C37">
        <x:v>1.5</x:v>
      </x:c>
      <x:c r="D37">
        <x:v>0.009</x:v>
      </x:c>
    </x:row>
    <x:row r="38">
      <x:c r="A38" t="str">
        <x:v>销售员004</x:v>
      </x:c>
      <x:c r="B38" t="s">
        <x:v>117</x:v>
      </x:c>
      <x:c r="C38">
        <x:v>1.3</x:v>
      </x:c>
      <x:c r="D38">
        <x:v>0.008</x:v>
      </x:c>
    </x:row>
    <x:row r="39">
      <x:c r="A39" t="str">
        <x:v>销售员004</x:v>
      </x:c>
      <x:c r="B39" t="s">
        <x:v>114</x:v>
      </x:c>
      <x:c r="C39">
        <x:v>285</x:v>
      </x:c>
      <x:c r="D39">
        <x:v>2.077</x:v>
      </x:c>
    </x:row>
    <x:row r="40">
      <x:c r="A40" t="str">
        <x:v>销售员004</x:v>
      </x:c>
      <x:c r="B40" t="s">
        <x:v>115</x:v>
      </x:c>
      <x:c r="C40">
        <x:v>2017</x:v>
      </x:c>
      <x:c r="D40">
        <x:v>14.697</x:v>
      </x:c>
    </x:row>
    <x:row r="41">
      <x:c r="A41" t="str">
        <x:v>销售员004</x:v>
      </x:c>
      <x:c r="B41" t="s">
        <x:v>118</x:v>
      </x:c>
      <x:c r="C41">
        <x:v>10800.1</x:v>
      </x:c>
      <x:c r="D41">
        <x:v>65.578</x:v>
      </x:c>
    </x:row>
    <x:row r="42">
      <x:c r="A42" t="str">
        <x:v>销售员004</x:v>
      </x:c>
      <x:c r="B42" t="s">
        <x:v>125</x:v>
      </x:c>
      <x:c r="C42">
        <x:v>15</x:v>
      </x:c>
      <x:c r="D42">
        <x:v>0.12</x:v>
      </x:c>
    </x:row>
    <x:row r="43">
      <x:c r="A43" t="str">
        <x:v>销售员004</x:v>
      </x:c>
      <x:c r="B43" t="s">
        <x:v>119</x:v>
      </x:c>
      <x:c r="C43">
        <x:v>30.9</x:v>
      </x:c>
      <x:c r="D43">
        <x:v>0.188</x:v>
      </x:c>
    </x:row>
    <x:row r="44">
      <x:c r="A44" t="str">
        <x:v>销售员004</x:v>
      </x:c>
      <x:c r="B44" t="s">
        <x:v>126</x:v>
      </x:c>
      <x:c r="C44">
        <x:v>173</x:v>
      </x:c>
      <x:c r="D44">
        <x:v>1.029</x:v>
      </x:c>
    </x:row>
    <x:row r="45">
      <x:c r="A45" t="str">
        <x:v>销售员004</x:v>
      </x:c>
      <x:c r="B45" t="s">
        <x:v>128</x:v>
      </x:c>
      <x:c r="C45">
        <x:v>207.7</x:v>
      </x:c>
      <x:c r="D45">
        <x:v>1.261</x:v>
      </x:c>
    </x:row>
    <x:row r="46">
      <x:c r="A46"/>
      <x:c r="B46" t="s">
        <x:v>133</x:v>
      </x:c>
      <x:c r="C46">
        <x:v>37940.6</x:v>
      </x:c>
      <x:c r="D46">
        <x:v>238.091</x:v>
      </x:c>
    </x:row>
    <x:row r="47">
      <x:c r="A47" t="s">
        <x:v>121</x:v>
      </x:c>
      <x:c r="B47"/>
      <x:c r="C47"/>
      <x:c r="D47"/>
    </x:row>
    <x:row r="48">
      <x:c r="A48" t="s">
        <x:v>122</x:v>
      </x:c>
      <x:c r="B48"/>
      <x:c r="C48"/>
      <x:c r="D48"/>
    </x:row>
    <x:row r="49">
      <x:c r="A49" t="s">
        <x:v>3</x:v>
      </x:c>
      <x:c r="B49" t="s">
        <x:v>88</x:v>
      </x:c>
      <x:c r="C49" t="s">
        <x:v>89</x:v>
      </x:c>
      <x:c r="D49" t="s">
        <x:v>90</x:v>
      </x:c>
    </x:row>
    <x:row r="50">
      <x:c r="A50" t="str">
        <x:v>销售员002</x:v>
      </x:c>
      <x:c r="B50" t="s">
        <x:v>92</x:v>
      </x:c>
      <x:c r="C50">
        <x:v>46</x:v>
      </x:c>
      <x:c r="D50">
        <x:v>0.279</x:v>
      </x:c>
    </x:row>
    <x:row r="51">
      <x:c r="A51" t="str">
        <x:v>销售员002</x:v>
      </x:c>
      <x:c r="B51" t="s">
        <x:v>93</x:v>
      </x:c>
      <x:c r="C51">
        <x:v>2407.5</x:v>
      </x:c>
      <x:c r="D51">
        <x:v>15.437</x:v>
      </x:c>
    </x:row>
    <x:row r="52">
      <x:c r="A52" t="str">
        <x:v>销售员002</x:v>
      </x:c>
      <x:c r="B52" t="s">
        <x:v>95</x:v>
      </x:c>
      <x:c r="C52">
        <x:v>26419.2</x:v>
      </x:c>
      <x:c r="D52">
        <x:v>160.418</x:v>
      </x:c>
    </x:row>
    <x:row r="53">
      <x:c r="A53" t="str">
        <x:v>销售员002</x:v>
      </x:c>
      <x:c r="B53" t="s">
        <x:v>99</x:v>
      </x:c>
      <x:c r="C53">
        <x:v>30</x:v>
      </x:c>
      <x:c r="D53">
        <x:v>0.219</x:v>
      </x:c>
    </x:row>
    <x:row r="54">
      <x:c r="A54" t="str">
        <x:v>销售员002</x:v>
      </x:c>
      <x:c r="B54" t="s">
        <x:v>100</x:v>
      </x:c>
      <x:c r="C54">
        <x:v>897</x:v>
      </x:c>
      <x:c r="D54">
        <x:v>5.752</x:v>
      </x:c>
    </x:row>
    <x:row r="55">
      <x:c r="A55" t="str">
        <x:v>销售员002</x:v>
      </x:c>
      <x:c r="B55" t="s">
        <x:v>107</x:v>
      </x:c>
      <x:c r="C55">
        <x:v>10</x:v>
      </x:c>
      <x:c r="D55">
        <x:v>0.078</x:v>
      </x:c>
    </x:row>
    <x:row r="56">
      <x:c r="A56" t="str">
        <x:v>销售员002</x:v>
      </x:c>
      <x:c r="B56" t="s">
        <x:v>108</x:v>
      </x:c>
      <x:c r="C56">
        <x:v>28.2</x:v>
      </x:c>
      <x:c r="D56">
        <x:v>0.171</x:v>
      </x:c>
    </x:row>
    <x:row r="57">
      <x:c r="A57" t="str">
        <x:v>销售员002</x:v>
      </x:c>
      <x:c r="B57" t="s">
        <x:v>109</x:v>
      </x:c>
      <x:c r="C57">
        <x:v>53</x:v>
      </x:c>
      <x:c r="D57">
        <x:v>0.312</x:v>
      </x:c>
    </x:row>
    <x:row r="58">
      <x:c r="A58" t="str">
        <x:v>销售员002</x:v>
      </x:c>
      <x:c r="B58" t="s">
        <x:v>112</x:v>
      </x:c>
      <x:c r="C58">
        <x:v>3652</x:v>
      </x:c>
      <x:c r="D58">
        <x:v>26.61</x:v>
      </x:c>
    </x:row>
    <x:row r="59">
      <x:c r="A59" t="str">
        <x:v>销售员002</x:v>
      </x:c>
      <x:c r="B59" t="s">
        <x:v>114</x:v>
      </x:c>
      <x:c r="C59">
        <x:v>224</x:v>
      </x:c>
      <x:c r="D59">
        <x:v>1.632</x:v>
      </x:c>
    </x:row>
    <x:row r="60">
      <x:c r="A60" t="str">
        <x:v>销售员002</x:v>
      </x:c>
      <x:c r="B60" t="s">
        <x:v>115</x:v>
      </x:c>
      <x:c r="C60">
        <x:v>906</x:v>
      </x:c>
      <x:c r="D60">
        <x:v>6.602</x:v>
      </x:c>
    </x:row>
    <x:row r="61">
      <x:c r="A61" t="str">
        <x:v>销售员002</x:v>
      </x:c>
      <x:c r="B61" t="s">
        <x:v>116</x:v>
      </x:c>
      <x:c r="C61">
        <x:v>9</x:v>
      </x:c>
      <x:c r="D61">
        <x:v>0.066</x:v>
      </x:c>
    </x:row>
    <x:row r="62">
      <x:c r="A62" t="str">
        <x:v>销售员002</x:v>
      </x:c>
      <x:c r="B62" t="s">
        <x:v>118</x:v>
      </x:c>
      <x:c r="C62">
        <x:v>8569.9</x:v>
      </x:c>
      <x:c r="D62">
        <x:v>52.037</x:v>
      </x:c>
    </x:row>
    <x:row r="63">
      <x:c r="A63" t="str">
        <x:v>销售员002</x:v>
      </x:c>
      <x:c r="B63" t="s">
        <x:v>125</x:v>
      </x:c>
      <x:c r="C63">
        <x:v>31</x:v>
      </x:c>
      <x:c r="D63">
        <x:v>0.248</x:v>
      </x:c>
    </x:row>
    <x:row r="64">
      <x:c r="A64" t="str">
        <x:v>销售员002</x:v>
      </x:c>
      <x:c r="B64" t="s">
        <x:v>119</x:v>
      </x:c>
      <x:c r="C64">
        <x:v>93.1</x:v>
      </x:c>
      <x:c r="D64">
        <x:v>0.565</x:v>
      </x:c>
    </x:row>
    <x:row r="65">
      <x:c r="A65" t="str">
        <x:v>销售员002</x:v>
      </x:c>
      <x:c r="B65" t="s">
        <x:v>126</x:v>
      </x:c>
      <x:c r="C65">
        <x:v>225</x:v>
      </x:c>
      <x:c r="D65">
        <x:v>1.339</x:v>
      </x:c>
    </x:row>
    <x:row r="66">
      <x:c r="A66" t="str">
        <x:v>销售员002</x:v>
      </x:c>
      <x:c r="B66" t="s">
        <x:v>128</x:v>
      </x:c>
      <x:c r="C66">
        <x:v>307.2</x:v>
      </x:c>
      <x:c r="D66">
        <x:v>1.865</x:v>
      </x:c>
    </x:row>
    <x:row r="67">
      <x:c r="A67" t="str">
        <x:v>销售员002</x:v>
      </x:c>
      <x:c r="B67" t="s">
        <x:v>129</x:v>
      </x:c>
      <x:c r="C67">
        <x:v>20</x:v>
      </x:c>
      <x:c r="D67">
        <x:v>0.121</x:v>
      </x:c>
    </x:row>
    <x:row r="68">
      <x:c r="A68" t="str">
        <x:v>销售员002</x:v>
      </x:c>
      <x:c r="B68" t="s">
        <x:v>131</x:v>
      </x:c>
      <x:c r="C68">
        <x:v>105</x:v>
      </x:c>
      <x:c r="D68">
        <x:v>0.638</x:v>
      </x:c>
    </x:row>
    <x:row r="69">
      <x:c r="A69"/>
      <x:c r="B69" t="s">
        <x:v>133</x:v>
      </x:c>
      <x:c r="C69">
        <x:v>44033.1</x:v>
      </x:c>
      <x:c r="D69">
        <x:v>274.389</x:v>
      </x:c>
    </x:row>
    <x:row r="70">
      <x:c r="A70" t="s">
        <x:v>121</x:v>
      </x:c>
      <x:c r="B70"/>
      <x:c r="C70"/>
      <x:c r="D70"/>
    </x:row>
    <x:row r="71">
      <x:c r="A71" t="s">
        <x:v>122</x:v>
      </x:c>
      <x:c r="B71"/>
      <x:c r="C71"/>
      <x:c r="D71"/>
    </x:row>
    <x:row r="72">
      <x:c r="A72" t="s">
        <x:v>3</x:v>
      </x:c>
      <x:c r="B72" t="s">
        <x:v>88</x:v>
      </x:c>
      <x:c r="C72" t="s">
        <x:v>89</x:v>
      </x:c>
      <x:c r="D72" t="s">
        <x:v>90</x:v>
      </x:c>
    </x:row>
    <x:row r="73">
      <x:c r="A73" t="str">
        <x:v>销售员001</x:v>
      </x:c>
      <x:c r="B73" t="s">
        <x:v>93</x:v>
      </x:c>
      <x:c r="C73">
        <x:v>2155.5</x:v>
      </x:c>
      <x:c r="D73">
        <x:v>13.821</x:v>
      </x:c>
    </x:row>
    <x:row r="74">
      <x:c r="A74" t="str">
        <x:v>销售员001</x:v>
      </x:c>
      <x:c r="B74" t="s">
        <x:v>95</x:v>
      </x:c>
      <x:c r="C74">
        <x:v>12051.7</x:v>
      </x:c>
      <x:c r="D74">
        <x:v>73.178</x:v>
      </x:c>
    </x:row>
    <x:row r="75">
      <x:c r="A75" t="str">
        <x:v>销售员001</x:v>
      </x:c>
      <x:c r="B75" t="s">
        <x:v>99</x:v>
      </x:c>
      <x:c r="C75">
        <x:v>450</x:v>
      </x:c>
      <x:c r="D75">
        <x:v>3.279</x:v>
      </x:c>
    </x:row>
    <x:row r="76">
      <x:c r="A76" t="str">
        <x:v>销售员001</x:v>
      </x:c>
      <x:c r="B76" t="s">
        <x:v>100</x:v>
      </x:c>
      <x:c r="C76">
        <x:v>554</x:v>
      </x:c>
      <x:c r="D76">
        <x:v>3.552</x:v>
      </x:c>
    </x:row>
    <x:row r="77">
      <x:c r="A77" t="str">
        <x:v>销售员001</x:v>
      </x:c>
      <x:c r="B77" t="s">
        <x:v>427</x:v>
      </x:c>
      <x:c r="C77">
        <x:v>20</x:v>
      </x:c>
      <x:c r="D77">
        <x:v>0.08</x:v>
      </x:c>
    </x:row>
    <x:row r="78">
      <x:c r="A78" t="str">
        <x:v>销售员001</x:v>
      </x:c>
      <x:c r="B78" t="s">
        <x:v>107</x:v>
      </x:c>
      <x:c r="C78">
        <x:v>10</x:v>
      </x:c>
      <x:c r="D78">
        <x:v>0.078</x:v>
      </x:c>
    </x:row>
    <x:row r="79">
      <x:c r="A79" t="str">
        <x:v>销售员001</x:v>
      </x:c>
      <x:c r="B79" t="s">
        <x:v>108</x:v>
      </x:c>
      <x:c r="C79">
        <x:v>45.9</x:v>
      </x:c>
      <x:c r="D79">
        <x:v>0.279</x:v>
      </x:c>
    </x:row>
    <x:row r="80">
      <x:c r="A80" t="str">
        <x:v>销售员001</x:v>
      </x:c>
      <x:c r="B80" t="s">
        <x:v>109</x:v>
      </x:c>
      <x:c r="C80">
        <x:v>98</x:v>
      </x:c>
      <x:c r="D80">
        <x:v>0.577</x:v>
      </x:c>
    </x:row>
    <x:row r="81">
      <x:c r="A81" t="str">
        <x:v>销售员001</x:v>
      </x:c>
      <x:c r="B81" t="s">
        <x:v>112</x:v>
      </x:c>
      <x:c r="C81">
        <x:v>3518</x:v>
      </x:c>
      <x:c r="D81">
        <x:v>25.634</x:v>
      </x:c>
    </x:row>
    <x:row r="82">
      <x:c r="A82" t="str">
        <x:v>销售员001</x:v>
      </x:c>
      <x:c r="B82" t="s">
        <x:v>114</x:v>
      </x:c>
      <x:c r="C82">
        <x:v>1594</x:v>
      </x:c>
      <x:c r="D82">
        <x:v>11.615</x:v>
      </x:c>
    </x:row>
    <x:row r="83">
      <x:c r="A83" t="str">
        <x:v>销售员001</x:v>
      </x:c>
      <x:c r="B83" t="s">
        <x:v>115</x:v>
      </x:c>
      <x:c r="C83">
        <x:v>1109</x:v>
      </x:c>
      <x:c r="D83">
        <x:v>8.081</x:v>
      </x:c>
    </x:row>
    <x:row r="84">
      <x:c r="A84" t="str">
        <x:v>销售员001</x:v>
      </x:c>
      <x:c r="B84" t="s">
        <x:v>116</x:v>
      </x:c>
      <x:c r="C84">
        <x:v>764</x:v>
      </x:c>
      <x:c r="D84">
        <x:v>5.567</x:v>
      </x:c>
    </x:row>
    <x:row r="85">
      <x:c r="A85" t="str">
        <x:v>销售员001</x:v>
      </x:c>
      <x:c r="B85" t="s">
        <x:v>118</x:v>
      </x:c>
      <x:c r="C85">
        <x:v>11095.3</x:v>
      </x:c>
      <x:c r="D85">
        <x:v>67.371</x:v>
      </x:c>
    </x:row>
    <x:row r="86">
      <x:c r="A86" t="str">
        <x:v>销售员001</x:v>
      </x:c>
      <x:c r="B86" t="s">
        <x:v>125</x:v>
      </x:c>
      <x:c r="C86">
        <x:v>8</x:v>
      </x:c>
      <x:c r="D86">
        <x:v>0.064</x:v>
      </x:c>
    </x:row>
    <x:row r="87">
      <x:c r="A87" t="str">
        <x:v>销售员001</x:v>
      </x:c>
      <x:c r="B87" t="s">
        <x:v>428</x:v>
      </x:c>
      <x:c r="C87">
        <x:v>54</x:v>
      </x:c>
      <x:c r="D87">
        <x:v>0.354</x:v>
      </x:c>
    </x:row>
    <x:row r="88">
      <x:c r="A88" t="str">
        <x:v>销售员001</x:v>
      </x:c>
      <x:c r="B88" t="s">
        <x:v>119</x:v>
      </x:c>
      <x:c r="C88">
        <x:v>14.6</x:v>
      </x:c>
      <x:c r="D88">
        <x:v>0.089</x:v>
      </x:c>
    </x:row>
    <x:row r="89">
      <x:c r="A89" t="str">
        <x:v>销售员001</x:v>
      </x:c>
      <x:c r="B89" t="s">
        <x:v>126</x:v>
      </x:c>
      <x:c r="C89">
        <x:v>170</x:v>
      </x:c>
      <x:c r="D89">
        <x:v>1.012</x:v>
      </x:c>
    </x:row>
    <x:row r="90">
      <x:c r="A90" t="str">
        <x:v>销售员001</x:v>
      </x:c>
      <x:c r="B90" t="s">
        <x:v>127</x:v>
      </x:c>
      <x:c r="C90">
        <x:v>4</x:v>
      </x:c>
      <x:c r="D90">
        <x:v>0.024</x:v>
      </x:c>
    </x:row>
    <x:row r="91">
      <x:c r="A91" t="str">
        <x:v>销售员001</x:v>
      </x:c>
      <x:c r="B91" t="s">
        <x:v>128</x:v>
      </x:c>
      <x:c r="C91">
        <x:v>84</x:v>
      </x:c>
      <x:c r="D91">
        <x:v>0.51</x:v>
      </x:c>
    </x:row>
    <x:row r="92">
      <x:c r="A92" t="str">
        <x:v>销售员001</x:v>
      </x:c>
      <x:c r="B92" t="s">
        <x:v>129</x:v>
      </x:c>
      <x:c r="C92">
        <x:v>67</x:v>
      </x:c>
      <x:c r="D92">
        <x:v>0.407</x:v>
      </x:c>
    </x:row>
    <x:row r="93">
      <x:c r="A93"/>
      <x:c r="B93" t="s">
        <x:v>133</x:v>
      </x:c>
      <x:c r="C93">
        <x:v>33867</x:v>
      </x:c>
      <x:c r="D93">
        <x:v>215.572</x:v>
      </x:c>
    </x:row>
    <x:row r="94">
      <x:c r="A94" t="s">
        <x:v>121</x:v>
      </x:c>
      <x:c r="B94"/>
      <x:c r="C94"/>
      <x:c r="D94"/>
    </x:row>
    <x:row r="95">
      <x:c r="A95" t="s">
        <x:v>122</x:v>
      </x:c>
      <x:c r="B95"/>
      <x:c r="C95"/>
      <x:c r="D95"/>
    </x:row>
    <x:row r="96">
      <x:c r="A96" t="s">
        <x:v>3</x:v>
      </x:c>
      <x:c r="B96" t="s">
        <x:v>88</x:v>
      </x:c>
      <x:c r="C96" t="s">
        <x:v>89</x:v>
      </x:c>
      <x:c r="D96" t="s">
        <x:v>90</x:v>
      </x:c>
    </x:row>
    <x:row r="97">
      <x:c r="A97" t="str">
        <x:v>销售员006</x:v>
      </x:c>
      <x:c r="B97" t="s">
        <x:v>93</x:v>
      </x:c>
      <x:c r="C97">
        <x:v>9902.5</x:v>
      </x:c>
      <x:c r="D97">
        <x:v>63.495</x:v>
      </x:c>
    </x:row>
    <x:row r="98">
      <x:c r="A98" t="str">
        <x:v>销售员006</x:v>
      </x:c>
      <x:c r="B98" t="s">
        <x:v>95</x:v>
      </x:c>
      <x:c r="C98">
        <x:v>278</x:v>
      </x:c>
      <x:c r="D98">
        <x:v>1.688</x:v>
      </x:c>
    </x:row>
    <x:row r="99">
      <x:c r="A99" t="str">
        <x:v>销售员006</x:v>
      </x:c>
      <x:c r="B99" t="s">
        <x:v>107</x:v>
      </x:c>
      <x:c r="C99">
        <x:v>9</x:v>
      </x:c>
      <x:c r="D99">
        <x:v>0.07</x:v>
      </x:c>
    </x:row>
    <x:row r="100">
      <x:c r="A100" t="str">
        <x:v>销售员006</x:v>
      </x:c>
      <x:c r="B100" t="s">
        <x:v>124</x:v>
      </x:c>
      <x:c r="C100">
        <x:v>125</x:v>
      </x:c>
      <x:c r="D100">
        <x:v>0.759</x:v>
      </x:c>
    </x:row>
    <x:row r="101">
      <x:c r="A101" t="str">
        <x:v>销售员006</x:v>
      </x:c>
      <x:c r="B101" t="s">
        <x:v>109</x:v>
      </x:c>
      <x:c r="C101">
        <x:v>1287</x:v>
      </x:c>
      <x:c r="D101">
        <x:v>7.58</x:v>
      </x:c>
    </x:row>
    <x:row r="102">
      <x:c r="A102" t="str">
        <x:v>销售员006</x:v>
      </x:c>
      <x:c r="B102" t="s">
        <x:v>110</x:v>
      </x:c>
      <x:c r="C102">
        <x:v>336</x:v>
      </x:c>
      <x:c r="D102">
        <x:v>2.154</x:v>
      </x:c>
    </x:row>
    <x:row r="103">
      <x:c r="A103" t="str">
        <x:v>销售员006</x:v>
      </x:c>
      <x:c r="B103" t="s">
        <x:v>111</x:v>
      </x:c>
      <x:c r="C103">
        <x:v>665</x:v>
      </x:c>
      <x:c r="D103">
        <x:v>4.038</x:v>
      </x:c>
    </x:row>
    <x:row r="104">
      <x:c r="A104" t="str">
        <x:v>销售员006</x:v>
      </x:c>
      <x:c r="B104" t="s">
        <x:v>112</x:v>
      </x:c>
      <x:c r="C104">
        <x:v>542</x:v>
      </x:c>
      <x:c r="D104">
        <x:v>3.949</x:v>
      </x:c>
    </x:row>
    <x:row r="105">
      <x:c r="A105" t="str">
        <x:v>销售员006</x:v>
      </x:c>
      <x:c r="B105" t="s">
        <x:v>114</x:v>
      </x:c>
      <x:c r="C105">
        <x:v>75</x:v>
      </x:c>
      <x:c r="D105">
        <x:v>0.546</x:v>
      </x:c>
    </x:row>
    <x:row r="106">
      <x:c r="A106" t="str">
        <x:v>销售员006</x:v>
      </x:c>
      <x:c r="B106" t="s">
        <x:v>118</x:v>
      </x:c>
      <x:c r="C106">
        <x:v>205</x:v>
      </x:c>
      <x:c r="D106">
        <x:v>1.245</x:v>
      </x:c>
    </x:row>
    <x:row r="107">
      <x:c r="A107" t="str">
        <x:v>销售员006</x:v>
      </x:c>
      <x:c r="B107" t="s">
        <x:v>120</x:v>
      </x:c>
      <x:c r="C107">
        <x:v>52</x:v>
      </x:c>
      <x:c r="D107">
        <x:v>0.309</x:v>
      </x:c>
    </x:row>
    <x:row r="108">
      <x:c r="A108" t="str">
        <x:v>销售员006</x:v>
      </x:c>
      <x:c r="B108" t="s">
        <x:v>126</x:v>
      </x:c>
      <x:c r="C108">
        <x:v>6</x:v>
      </x:c>
      <x:c r="D108">
        <x:v>0.036</x:v>
      </x:c>
    </x:row>
    <x:row r="109">
      <x:c r="A109" t="str">
        <x:v>销售员006</x:v>
      </x:c>
      <x:c r="B109" t="s">
        <x:v>127</x:v>
      </x:c>
      <x:c r="C109">
        <x:v>111</x:v>
      </x:c>
      <x:c r="D109">
        <x:v>0.661</x:v>
      </x:c>
    </x:row>
    <x:row r="110">
      <x:c r="A110" t="str">
        <x:v>销售员006</x:v>
      </x:c>
      <x:c r="B110" t="s">
        <x:v>129</x:v>
      </x:c>
      <x:c r="C110">
        <x:v>452.7</x:v>
      </x:c>
      <x:c r="D110">
        <x:v>2.749</x:v>
      </x:c>
    </x:row>
    <x:row r="111">
      <x:c r="A111"/>
      <x:c r="B111">
        <x:v>14046.2</x:v>
      </x:c>
      <x:c r="C111">
        <x:v>14046.2</x:v>
      </x:c>
      <x:c r="D111">
        <x:v>89.279</x:v>
      </x:c>
    </x:row>
    <x:row r="112">
      <x:c r="A112" t="s">
        <x:v>133</x:v>
      </x:c>
      <x:c r="B112"/>
      <x:c r="C112"/>
      <x:c r="D112"/>
    </x:row>
    <x:row r="113">
      <x:c r="A113" t="s">
        <x:v>121</x:v>
      </x:c>
      <x:c r="B113"/>
      <x:c r="C113"/>
      <x:c r="D113"/>
    </x:row>
    <x:row r="114">
      <x:c r="A114" t="s">
        <x:v>122</x:v>
      </x:c>
      <x:c r="B114"/>
      <x:c r="C114"/>
      <x:c r="D114"/>
    </x:row>
    <x:row r="115">
      <x:c r="A115" t="s">
        <x:v>3</x:v>
      </x:c>
      <x:c r="B115" t="s">
        <x:v>88</x:v>
      </x:c>
      <x:c r="C115" t="s">
        <x:v>89</x:v>
      </x:c>
      <x:c r="D115" t="s">
        <x:v>90</x:v>
      </x:c>
    </x:row>
    <x:row r="116">
      <x:c r="A116" t="str">
        <x:v>销售员005</x:v>
      </x:c>
      <x:c r="B116" t="s">
        <x:v>92</x:v>
      </x:c>
      <x:c r="C116">
        <x:v>102</x:v>
      </x:c>
      <x:c r="D116">
        <x:v>0.619</x:v>
      </x:c>
    </x:row>
    <x:row r="117">
      <x:c r="A117" t="str">
        <x:v>销售员005</x:v>
      </x:c>
      <x:c r="B117" t="s">
        <x:v>93</x:v>
      </x:c>
      <x:c r="C117">
        <x:v>12460</x:v>
      </x:c>
      <x:c r="D117">
        <x:v>79.894</x:v>
      </x:c>
    </x:row>
    <x:row r="118">
      <x:c r="A118" t="str">
        <x:v>销售员005</x:v>
      </x:c>
      <x:c r="B118" t="s">
        <x:v>95</x:v>
      </x:c>
      <x:c r="C118">
        <x:v>794.8</x:v>
      </x:c>
      <x:c r="D118">
        <x:v>4.826</x:v>
      </x:c>
    </x:row>
    <x:row r="119">
      <x:c r="A119" t="str">
        <x:v>销售员005</x:v>
      </x:c>
      <x:c r="B119" t="s">
        <x:v>97</x:v>
      </x:c>
      <x:c r="C119">
        <x:v>5.5</x:v>
      </x:c>
      <x:c r="D119">
        <x:v>0.033</x:v>
      </x:c>
    </x:row>
    <x:row r="120">
      <x:c r="A120" t="str">
        <x:v>销售员005</x:v>
      </x:c>
      <x:c r="B120" t="s">
        <x:v>99</x:v>
      </x:c>
      <x:c r="C120">
        <x:v>135</x:v>
      </x:c>
      <x:c r="D120">
        <x:v>0.984</x:v>
      </x:c>
    </x:row>
    <x:row r="121">
      <x:c r="A121" t="str">
        <x:v>销售员005</x:v>
      </x:c>
      <x:c r="B121" t="s">
        <x:v>106</x:v>
      </x:c>
      <x:c r="C121">
        <x:v>1.3</x:v>
      </x:c>
      <x:c r="D121">
        <x:v>0.009</x:v>
      </x:c>
    </x:row>
    <x:row r="122">
      <x:c r="A122" t="str">
        <x:v>销售员005</x:v>
      </x:c>
      <x:c r="B122" t="s">
        <x:v>107</x:v>
      </x:c>
      <x:c r="C122">
        <x:v>295</x:v>
      </x:c>
      <x:c r="D122">
        <x:v>2.293</x:v>
      </x:c>
    </x:row>
    <x:row r="123">
      <x:c r="A123" t="str">
        <x:v>销售员005</x:v>
      </x:c>
      <x:c r="B123" t="s">
        <x:v>109</x:v>
      </x:c>
      <x:c r="C123">
        <x:v>1521</x:v>
      </x:c>
      <x:c r="D123">
        <x:v>8.958</x:v>
      </x:c>
    </x:row>
    <x:row r="124">
      <x:c r="A124" t="str">
        <x:v>销售员005</x:v>
      </x:c>
      <x:c r="B124" t="s">
        <x:v>110</x:v>
      </x:c>
      <x:c r="C124">
        <x:v>854</x:v>
      </x:c>
      <x:c r="D124">
        <x:v>5.476</x:v>
      </x:c>
    </x:row>
    <x:row r="125">
      <x:c r="A125" t="str">
        <x:v>销售员005</x:v>
      </x:c>
      <x:c r="B125" t="s">
        <x:v>111</x:v>
      </x:c>
      <x:c r="C125">
        <x:v>342</x:v>
      </x:c>
      <x:c r="D125">
        <x:v>2.077</x:v>
      </x:c>
    </x:row>
    <x:row r="126">
      <x:c r="A126" t="str">
        <x:v>销售员005</x:v>
      </x:c>
      <x:c r="B126" t="s">
        <x:v>112</x:v>
      </x:c>
      <x:c r="C126">
        <x:v>18</x:v>
      </x:c>
      <x:c r="D126">
        <x:v>0.131</x:v>
      </x:c>
    </x:row>
    <x:row r="127">
      <x:c r="A127" t="str">
        <x:v>销售员005</x:v>
      </x:c>
      <x:c r="B127" t="s">
        <x:v>114</x:v>
      </x:c>
      <x:c r="C127">
        <x:v>42</x:v>
      </x:c>
      <x:c r="D127">
        <x:v>0.306</x:v>
      </x:c>
    </x:row>
    <x:row r="128">
      <x:c r="A128" t="str">
        <x:v>销售员005</x:v>
      </x:c>
      <x:c r="B128" t="s">
        <x:v>116</x:v>
      </x:c>
      <x:c r="C128">
        <x:v>20</x:v>
      </x:c>
      <x:c r="D128">
        <x:v>0.146</x:v>
      </x:c>
    </x:row>
    <x:row r="129">
      <x:c r="A129" t="str">
        <x:v>销售员005</x:v>
      </x:c>
      <x:c r="B129" t="s">
        <x:v>118</x:v>
      </x:c>
      <x:c r="C129">
        <x:v>26.3</x:v>
      </x:c>
      <x:c r="D129">
        <x:v>0.159</x:v>
      </x:c>
    </x:row>
    <x:row r="130">
      <x:c r="A130" t="str">
        <x:v>销售员005</x:v>
      </x:c>
      <x:c r="B130" t="s">
        <x:v>120</x:v>
      </x:c>
      <x:c r="C130">
        <x:v>71</x:v>
      </x:c>
      <x:c r="D130">
        <x:v>0.422</x:v>
      </x:c>
    </x:row>
    <x:row r="131">
      <x:c r="A131" t="str">
        <x:v>销售员005</x:v>
      </x:c>
      <x:c r="B131" t="s">
        <x:v>126</x:v>
      </x:c>
      <x:c r="C131">
        <x:v>10</x:v>
      </x:c>
      <x:c r="D131">
        <x:v>0.06</x:v>
      </x:c>
    </x:row>
    <x:row r="132">
      <x:c r="A132" t="str">
        <x:v>销售员005</x:v>
      </x:c>
      <x:c r="B132" t="s">
        <x:v>127</x:v>
      </x:c>
      <x:c r="C132">
        <x:v>214</x:v>
      </x:c>
      <x:c r="D132">
        <x:v>1.273</x:v>
      </x:c>
    </x:row>
    <x:row r="133">
      <x:c r="A133" t="str">
        <x:v>销售员005</x:v>
      </x:c>
      <x:c r="B133" t="s">
        <x:v>129</x:v>
      </x:c>
      <x:c r="C133">
        <x:v>610</x:v>
      </x:c>
      <x:c r="D133">
        <x:v>3.704</x:v>
      </x:c>
    </x:row>
    <x:row r="134">
      <x:c r="A134"/>
      <x:c r="B134" t="s">
        <x:v>133</x:v>
      </x:c>
      <x:c r="C134">
        <x:v>17521.9</x:v>
      </x:c>
      <x:c r="D134">
        <x:v>111.37</x:v>
      </x:c>
    </x:row>
    <x:row r="135">
      <x:c r="A135"/>
      <x:c r="B135"/>
      <x:c r="C135"/>
      <x:c r="D135"/>
    </x:row>
    <x:row r="136">
      <x:c r="A136"/>
      <x:c r="B136"/>
      <x:c r="C136"/>
      <x:c r="D136"/>
    </x:row>
    <x:row r="137">
      <x:c r="A137"/>
      <x:c r="B137"/>
      <x:c r="C137"/>
      <x:c r="D137"/>
    </x:row>
    <x:row r="138">
      <x:c r="A138"/>
      <x:c r="B138"/>
      <x:c r="C138"/>
      <x:c r="D138"/>
    </x:row>
    <x:row r="139">
      <x:c r="A139"/>
      <x:c r="B139"/>
      <x:c r="C139" t="n">
        <x:f>SUBTOTAL(9,C2:C138)</x:f>
        <x:v>366773.2</x:v>
      </x:c>
      <x:c r="D139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37.880001068115234" hidden="0" customWidth="1"/>
    <x:col min="3" max="3" width="9" hidden="0" customWidth="1"/>
    <x:col min="4" max="4" width="9" hidden="0" customWidth="1"/>
    <x:col min="7" max="7" width="6.130000114440918" hidden="0" customWidth="1"/>
  </x:cols>
  <x:sheetData>
    <x:row r="1">
      <x:c r="A1" t="s">
        <x:v>3</x:v>
      </x:c>
      <x:c r="B1" t="s">
        <x:v>88</x:v>
      </x:c>
      <x:c r="C1" t="s">
        <x:v>89</x:v>
      </x:c>
      <x:c r="D1" t="s">
        <x:v>90</x:v>
      </x:c>
      <x:c r="E1"/>
      <x:c r="F1"/>
      <x:c r="G1" t="n">
        <x:f>C136</x:f>
        <x:v>350919</x:v>
      </x:c>
    </x:row>
    <x:row r="2">
      <x:c r="A2" t="str">
        <x:v>销售员003</x:v>
      </x:c>
      <x:c r="B2" t="s">
        <x:v>93</x:v>
      </x:c>
      <x:c r="C2">
        <x:v>2663</x:v>
      </x:c>
      <x:c r="D2">
        <x:v>17.075</x:v>
      </x:c>
      <x:c r="E2"/>
      <x:c r="F2"/>
      <x:c r="G2"/>
    </x:row>
    <x:row r="3">
      <x:c r="A3" t="str">
        <x:v>销售员003</x:v>
      </x:c>
      <x:c r="B3" t="s">
        <x:v>95</x:v>
      </x:c>
      <x:c r="C3">
        <x:v>17661.1</x:v>
      </x:c>
      <x:c r="D3">
        <x:v>107.238</x:v>
      </x:c>
      <x:c r="E3"/>
      <x:c r="F3"/>
      <x:c r="G3"/>
    </x:row>
    <x:row r="4">
      <x:c r="A4" t="str">
        <x:v>销售员003</x:v>
      </x:c>
      <x:c r="B4" t="s">
        <x:v>98</x:v>
      </x:c>
      <x:c r="C4">
        <x:v>40</x:v>
      </x:c>
      <x:c r="D4">
        <x:v>0.243</x:v>
      </x:c>
      <x:c r="E4"/>
      <x:c r="F4"/>
      <x:c r="G4"/>
    </x:row>
    <x:row r="5">
      <x:c r="A5" t="str">
        <x:v>销售员003</x:v>
      </x:c>
      <x:c r="B5" t="s">
        <x:v>99</x:v>
      </x:c>
      <x:c r="C5">
        <x:v>130</x:v>
      </x:c>
      <x:c r="D5">
        <x:v>0.947</x:v>
      </x:c>
      <x:c r="E5"/>
      <x:c r="F5"/>
      <x:c r="G5"/>
    </x:row>
    <x:row r="6">
      <x:c r="A6" t="str">
        <x:v>销售员003</x:v>
      </x:c>
      <x:c r="B6" t="s">
        <x:v>100</x:v>
      </x:c>
      <x:c r="C6">
        <x:v>440</x:v>
      </x:c>
      <x:c r="D6">
        <x:v>2.821</x:v>
      </x:c>
      <x:c r="E6"/>
      <x:c r="F6"/>
      <x:c r="G6"/>
    </x:row>
    <x:row r="7">
      <x:c r="A7" t="str">
        <x:v>销售员003</x:v>
      </x:c>
      <x:c r="B7" t="s">
        <x:v>101</x:v>
      </x:c>
      <x:c r="C7">
        <x:v>44</x:v>
      </x:c>
      <x:c r="D7">
        <x:v>0.267</x:v>
      </x:c>
      <x:c r="E7"/>
      <x:c r="F7"/>
      <x:c r="G7"/>
    </x:row>
    <x:row r="8">
      <x:c r="A8" t="str">
        <x:v>销售员003</x:v>
      </x:c>
      <x:c r="B8" t="s">
        <x:v>106</x:v>
      </x:c>
      <x:c r="C8">
        <x:v>50</x:v>
      </x:c>
      <x:c r="D8">
        <x:v>0.34</x:v>
      </x:c>
      <x:c r="E8"/>
      <x:c r="F8"/>
      <x:c r="G8"/>
    </x:row>
    <x:row r="9">
      <x:c r="A9" t="str">
        <x:v>销售员003</x:v>
      </x:c>
      <x:c r="B9" t="s">
        <x:v>107</x:v>
      </x:c>
      <x:c r="C9">
        <x:v>90</x:v>
      </x:c>
      <x:c r="D9">
        <x:v>0.699</x:v>
      </x:c>
      <x:c r="E9"/>
      <x:c r="F9"/>
      <x:c r="G9"/>
    </x:row>
    <x:row r="10">
      <x:c r="A10" t="str">
        <x:v>销售员003</x:v>
      </x:c>
      <x:c r="B10" t="s">
        <x:v>108</x:v>
      </x:c>
      <x:c r="C10">
        <x:v>155</x:v>
      </x:c>
      <x:c r="D10">
        <x:v>0.941</x:v>
      </x:c>
      <x:c r="E10"/>
      <x:c r="F10"/>
      <x:c r="G10"/>
    </x:row>
    <x:row r="11">
      <x:c r="A11" t="str">
        <x:v>销售员003</x:v>
      </x:c>
      <x:c r="B11" t="s">
        <x:v>109</x:v>
      </x:c>
      <x:c r="C11">
        <x:v>66</x:v>
      </x:c>
      <x:c r="D11">
        <x:v>0.389</x:v>
      </x:c>
      <x:c r="E11"/>
      <x:c r="F11"/>
      <x:c r="G11"/>
    </x:row>
    <x:row r="12">
      <x:c r="A12" t="str">
        <x:v>销售员003</x:v>
      </x:c>
      <x:c r="B12" t="s">
        <x:v>112</x:v>
      </x:c>
      <x:c r="C12">
        <x:v>2535</x:v>
      </x:c>
      <x:c r="D12">
        <x:v>18.471</x:v>
      </x:c>
      <x:c r="E12"/>
      <x:c r="F12"/>
      <x:c r="G12"/>
    </x:row>
    <x:row r="13">
      <x:c r="A13" t="str">
        <x:v>销售员003</x:v>
      </x:c>
      <x:c r="B13" t="s">
        <x:v>115</x:v>
      </x:c>
      <x:c r="C13">
        <x:v>686</x:v>
      </x:c>
      <x:c r="D13">
        <x:v>4.999</x:v>
      </x:c>
      <x:c r="E13"/>
      <x:c r="F13"/>
      <x:c r="G13"/>
    </x:row>
    <x:row r="14">
      <x:c r="A14" t="str">
        <x:v>销售员003</x:v>
      </x:c>
      <x:c r="B14" t="s">
        <x:v>116</x:v>
      </x:c>
      <x:c r="C14">
        <x:v>242</x:v>
      </x:c>
      <x:c r="D14">
        <x:v>1.763</x:v>
      </x:c>
      <x:c r="E14"/>
      <x:c r="F14"/>
      <x:c r="G14"/>
    </x:row>
    <x:row r="15">
      <x:c r="A15" t="str">
        <x:v>销售员003</x:v>
      </x:c>
      <x:c r="B15" t="s">
        <x:v>117</x:v>
      </x:c>
      <x:c r="C15">
        <x:v>5438.7</x:v>
      </x:c>
      <x:c r="D15">
        <x:v>33.024</x:v>
      </x:c>
      <x:c r="E15"/>
      <x:c r="F15"/>
      <x:c r="G15"/>
    </x:row>
    <x:row r="16">
      <x:c r="A16" t="str">
        <x:v>销售员003</x:v>
      </x:c>
      <x:c r="B16" t="s">
        <x:v>115</x:v>
      </x:c>
      <x:c r="C16">
        <x:v>0</x:v>
      </x:c>
      <x:c r="D16">
        <x:v>0</x:v>
      </x:c>
      <x:c r="E16"/>
      <x:c r="F16"/>
      <x:c r="G16"/>
    </x:row>
    <x:row r="17">
      <x:c r="A17" t="str">
        <x:v>销售员003</x:v>
      </x:c>
      <x:c r="B17" t="s">
        <x:v>118</x:v>
      </x:c>
      <x:c r="C17">
        <x:v>1465.7</x:v>
      </x:c>
      <x:c r="D17">
        <x:v>8.9</x:v>
      </x:c>
      <x:c r="E17"/>
      <x:c r="F17"/>
      <x:c r="G17"/>
    </x:row>
    <x:row r="18">
      <x:c r="A18" t="str">
        <x:v>销售员003</x:v>
      </x:c>
      <x:c r="B18" t="s">
        <x:v>133</x:v>
      </x:c>
      <x:c r="C18">
        <x:v>31706.5</x:v>
      </x:c>
      <x:c r="D18">
        <x:v>198.117</x:v>
      </x:c>
      <x:c r="E18"/>
      <x:c r="F18"/>
      <x:c r="G18"/>
    </x:row>
    <x:row r="19">
      <x:c r="A19" t="s">
        <x:v>121</x:v>
      </x:c>
      <x:c r="B19"/>
      <x:c r="C19"/>
      <x:c r="D19"/>
      <x:c r="E19"/>
      <x:c r="F19"/>
      <x:c r="G19"/>
    </x:row>
    <x:row r="20">
      <x:c r="A20" t="s">
        <x:v>122</x:v>
      </x:c>
      <x:c r="B20"/>
      <x:c r="C20"/>
      <x:c r="D20"/>
      <x:c r="E20"/>
      <x:c r="F20"/>
      <x:c r="G20"/>
    </x:row>
    <x:row r="21">
      <x:c r="A21" t="s">
        <x:v>3</x:v>
      </x:c>
      <x:c r="B21" t="s">
        <x:v>88</x:v>
      </x:c>
      <x:c r="C21" t="s">
        <x:v>89</x:v>
      </x:c>
      <x:c r="D21" t="s">
        <x:v>90</x:v>
      </x:c>
      <x:c r="E21"/>
      <x:c r="F21"/>
      <x:c r="G21"/>
    </x:row>
    <x:row r="22">
      <x:c r="A22" t="str">
        <x:v>销售员004</x:v>
      </x:c>
      <x:c r="B22" t="s">
        <x:v>93</x:v>
      </x:c>
      <x:c r="C22">
        <x:v>2512.5</x:v>
      </x:c>
      <x:c r="D22">
        <x:v>16.11</x:v>
      </x:c>
      <x:c r="E22"/>
      <x:c r="F22"/>
      <x:c r="G22"/>
    </x:row>
    <x:row r="23">
      <x:c r="A23" t="str">
        <x:v>销售员004</x:v>
      </x:c>
      <x:c r="B23" t="s">
        <x:v>95</x:v>
      </x:c>
      <x:c r="C23">
        <x:v>10844.9</x:v>
      </x:c>
      <x:c r="D23">
        <x:v>65.85</x:v>
      </x:c>
      <x:c r="E23"/>
      <x:c r="F23"/>
      <x:c r="G23"/>
    </x:row>
    <x:row r="24">
      <x:c r="A24" t="str">
        <x:v>销售员004</x:v>
      </x:c>
      <x:c r="B24" t="s">
        <x:v>99</x:v>
      </x:c>
      <x:c r="C24">
        <x:v>31</x:v>
      </x:c>
      <x:c r="D24">
        <x:v>0.226</x:v>
      </x:c>
      <x:c r="E24"/>
      <x:c r="F24"/>
      <x:c r="G24"/>
    </x:row>
    <x:row r="25">
      <x:c r="A25" t="str">
        <x:v>销售员004</x:v>
      </x:c>
      <x:c r="B25" t="s">
        <x:v>100</x:v>
      </x:c>
      <x:c r="C25">
        <x:v>729</x:v>
      </x:c>
      <x:c r="D25">
        <x:v>4.674</x:v>
      </x:c>
      <x:c r="E25"/>
      <x:c r="F25"/>
      <x:c r="G25"/>
    </x:row>
    <x:row r="26">
      <x:c r="A26" t="str">
        <x:v>销售员004</x:v>
      </x:c>
      <x:c r="B26" t="s">
        <x:v>102</x:v>
      </x:c>
      <x:c r="C26">
        <x:v>30.7</x:v>
      </x:c>
      <x:c r="D26">
        <x:v>0.246</x:v>
      </x:c>
      <x:c r="E26"/>
      <x:c r="F26"/>
      <x:c r="G26"/>
    </x:row>
    <x:row r="27">
      <x:c r="A27" t="str">
        <x:v>销售员004</x:v>
      </x:c>
      <x:c r="B27" t="s">
        <x:v>106</x:v>
      </x:c>
      <x:c r="C27">
        <x:v>93</x:v>
      </x:c>
      <x:c r="D27">
        <x:v>0.632</x:v>
      </x:c>
      <x:c r="E27"/>
      <x:c r="F27"/>
      <x:c r="G27"/>
    </x:row>
    <x:row r="28">
      <x:c r="A28" t="str">
        <x:v>销售员004</x:v>
      </x:c>
      <x:c r="B28" t="s">
        <x:v>107</x:v>
      </x:c>
      <x:c r="C28">
        <x:v>80</x:v>
      </x:c>
      <x:c r="D28">
        <x:v>0.622</x:v>
      </x:c>
      <x:c r="E28"/>
      <x:c r="F28"/>
      <x:c r="G28"/>
    </x:row>
    <x:row r="29">
      <x:c r="A29" t="str">
        <x:v>销售员004</x:v>
      </x:c>
      <x:c r="B29" t="s">
        <x:v>108</x:v>
      </x:c>
      <x:c r="C29">
        <x:v>65</x:v>
      </x:c>
      <x:c r="D29">
        <x:v>0.395</x:v>
      </x:c>
      <x:c r="E29"/>
      <x:c r="F29"/>
      <x:c r="G29"/>
    </x:row>
    <x:row r="30">
      <x:c r="A30" t="str">
        <x:v>销售员004</x:v>
      </x:c>
      <x:c r="B30" t="s">
        <x:v>109</x:v>
      </x:c>
      <x:c r="C30">
        <x:v>44</x:v>
      </x:c>
      <x:c r="D30">
        <x:v>0.259</x:v>
      </x:c>
      <x:c r="E30"/>
      <x:c r="F30"/>
      <x:c r="G30"/>
    </x:row>
    <x:row r="31">
      <x:c r="A31" t="str">
        <x:v>销售员004</x:v>
      </x:c>
      <x:c r="B31" t="s">
        <x:v>112</x:v>
      </x:c>
      <x:c r="C31">
        <x:v>4063</x:v>
      </x:c>
      <x:c r="D31">
        <x:v>29.605</x:v>
      </x:c>
      <x:c r="E31"/>
      <x:c r="F31"/>
      <x:c r="G31"/>
    </x:row>
    <x:row r="32">
      <x:c r="A32" t="str">
        <x:v>销售员004</x:v>
      </x:c>
      <x:c r="B32" t="s">
        <x:v>114</x:v>
      </x:c>
      <x:c r="C32">
        <x:v>13</x:v>
      </x:c>
      <x:c r="D32">
        <x:v>0.095</x:v>
      </x:c>
      <x:c r="E32"/>
      <x:c r="F32"/>
      <x:c r="G32"/>
    </x:row>
    <x:row r="33">
      <x:c r="A33" t="str">
        <x:v>销售员004</x:v>
      </x:c>
      <x:c r="B33" t="s">
        <x:v>115</x:v>
      </x:c>
      <x:c r="C33">
        <x:v>1406</x:v>
      </x:c>
      <x:c r="D33">
        <x:v>10.245</x:v>
      </x:c>
      <x:c r="E33"/>
      <x:c r="F33"/>
      <x:c r="G33"/>
    </x:row>
    <x:row r="34">
      <x:c r="A34" t="str">
        <x:v>销售员004</x:v>
      </x:c>
      <x:c r="B34" t="s">
        <x:v>116</x:v>
      </x:c>
      <x:c r="C34">
        <x:v>0</x:v>
      </x:c>
      <x:c r="D34">
        <x:v>0</x:v>
      </x:c>
      <x:c r="E34"/>
      <x:c r="F34"/>
      <x:c r="G34"/>
    </x:row>
    <x:row r="35">
      <x:c r="A35" t="str">
        <x:v>销售员004</x:v>
      </x:c>
      <x:c r="B35" t="s">
        <x:v>117</x:v>
      </x:c>
      <x:c r="C35">
        <x:v>6896</x:v>
      </x:c>
      <x:c r="D35">
        <x:v>41.873</x:v>
      </x:c>
      <x:c r="E35"/>
      <x:c r="F35"/>
      <x:c r="G35"/>
    </x:row>
    <x:row r="36">
      <x:c r="A36" t="str">
        <x:v>销售员004</x:v>
      </x:c>
      <x:c r="B36" t="s">
        <x:v>118</x:v>
      </x:c>
      <x:c r="C36">
        <x:v>1224.7</x:v>
      </x:c>
      <x:c r="D36">
        <x:v>7.436</x:v>
      </x:c>
      <x:c r="E36"/>
      <x:c r="F36"/>
      <x:c r="G36"/>
    </x:row>
    <x:row r="37">
      <x:c r="A37" t="str">
        <x:v>销售员004</x:v>
      </x:c>
      <x:c r="B37" t="s">
        <x:v>133</x:v>
      </x:c>
      <x:c r="C37">
        <x:v>28032.8</x:v>
      </x:c>
      <x:c r="D37">
        <x:v>178.268</x:v>
      </x:c>
      <x:c r="E37"/>
      <x:c r="F37"/>
      <x:c r="G37"/>
    </x:row>
    <x:row r="38">
      <x:c r="A38" t="s">
        <x:v>121</x:v>
      </x:c>
      <x:c r="B38"/>
      <x:c r="C38"/>
      <x:c r="D38"/>
      <x:c r="E38"/>
      <x:c r="F38"/>
      <x:c r="G38"/>
    </x:row>
    <x:row r="39">
      <x:c r="A39" t="s">
        <x:v>122</x:v>
      </x:c>
      <x:c r="B39"/>
      <x:c r="C39"/>
      <x:c r="D39"/>
      <x:c r="E39"/>
      <x:c r="F39"/>
      <x:c r="G39"/>
    </x:row>
    <x:row r="40">
      <x:c r="A40" t="s">
        <x:v>3</x:v>
      </x:c>
      <x:c r="B40" t="s">
        <x:v>88</x:v>
      </x:c>
      <x:c r="C40" t="s">
        <x:v>89</x:v>
      </x:c>
      <x:c r="D40" t="s">
        <x:v>90</x:v>
      </x:c>
      <x:c r="E40"/>
      <x:c r="F40"/>
      <x:c r="G40"/>
    </x:row>
    <x:row r="41">
      <x:c r="A41" t="str">
        <x:v>销售员002</x:v>
      </x:c>
      <x:c r="B41" t="s">
        <x:v>93</x:v>
      </x:c>
      <x:c r="C41">
        <x:v>2265</x:v>
      </x:c>
      <x:c r="D41">
        <x:v>14.523</x:v>
      </x:c>
      <x:c r="E41"/>
      <x:c r="F41"/>
      <x:c r="G41"/>
    </x:row>
    <x:row r="42">
      <x:c r="A42" t="str">
        <x:v>销售员002</x:v>
      </x:c>
      <x:c r="B42" t="s">
        <x:v>94</x:v>
      </x:c>
      <x:c r="C42">
        <x:v>60</x:v>
      </x:c>
      <x:c r="D42">
        <x:v>0.385</x:v>
      </x:c>
      <x:c r="E42"/>
      <x:c r="F42"/>
      <x:c r="G42"/>
    </x:row>
    <x:row r="43">
      <x:c r="A43" t="str">
        <x:v>销售员002</x:v>
      </x:c>
      <x:c r="B43" t="s">
        <x:v>95</x:v>
      </x:c>
      <x:c r="C43">
        <x:v>9762.4</x:v>
      </x:c>
      <x:c r="D43">
        <x:v>59.278</x:v>
      </x:c>
      <x:c r="E43"/>
      <x:c r="F43"/>
      <x:c r="G43"/>
    </x:row>
    <x:row r="44">
      <x:c r="A44" t="str">
        <x:v>销售员002</x:v>
      </x:c>
      <x:c r="B44" t="s">
        <x:v>99</x:v>
      </x:c>
      <x:c r="C44">
        <x:v>130</x:v>
      </x:c>
      <x:c r="D44">
        <x:v>0.947</x:v>
      </x:c>
      <x:c r="E44"/>
      <x:c r="F44"/>
      <x:c r="G44"/>
    </x:row>
    <x:row r="45">
      <x:c r="A45" t="str">
        <x:v>销售员002</x:v>
      </x:c>
      <x:c r="B45" t="s">
        <x:v>100</x:v>
      </x:c>
      <x:c r="C45">
        <x:v>1291</x:v>
      </x:c>
      <x:c r="D45">
        <x:v>8.278</x:v>
      </x:c>
      <x:c r="E45"/>
      <x:c r="F45"/>
      <x:c r="G45"/>
    </x:row>
    <x:row r="46">
      <x:c r="A46" t="str">
        <x:v>销售员002</x:v>
      </x:c>
      <x:c r="B46" t="s">
        <x:v>106</x:v>
      </x:c>
      <x:c r="C46">
        <x:v>40</x:v>
      </x:c>
      <x:c r="D46">
        <x:v>0.272</x:v>
      </x:c>
      <x:c r="E46"/>
      <x:c r="F46"/>
      <x:c r="G46"/>
    </x:row>
    <x:row r="47">
      <x:c r="A47" t="str">
        <x:v>销售员002</x:v>
      </x:c>
      <x:c r="B47" t="s">
        <x:v>107</x:v>
      </x:c>
      <x:c r="C47">
        <x:v>83</x:v>
      </x:c>
      <x:c r="D47">
        <x:v>0.645</x:v>
      </x:c>
      <x:c r="E47"/>
      <x:c r="F47"/>
      <x:c r="G47"/>
    </x:row>
    <x:row r="48">
      <x:c r="A48" t="str">
        <x:v>销售员002</x:v>
      </x:c>
      <x:c r="B48" t="s">
        <x:v>108</x:v>
      </x:c>
      <x:c r="C48">
        <x:v>20</x:v>
      </x:c>
      <x:c r="D48">
        <x:v>0.121</x:v>
      </x:c>
      <x:c r="E48"/>
      <x:c r="F48"/>
      <x:c r="G48"/>
    </x:row>
    <x:row r="49">
      <x:c r="A49" t="str">
        <x:v>销售员002</x:v>
      </x:c>
      <x:c r="B49" t="s">
        <x:v>109</x:v>
      </x:c>
      <x:c r="C49">
        <x:v>34</x:v>
      </x:c>
      <x:c r="D49">
        <x:v>0.2</x:v>
      </x:c>
      <x:c r="E49"/>
      <x:c r="F49"/>
      <x:c r="G49"/>
    </x:row>
    <x:row r="50">
      <x:c r="A50" t="str">
        <x:v>销售员002</x:v>
      </x:c>
      <x:c r="B50" t="s">
        <x:v>112</x:v>
      </x:c>
      <x:c r="C50">
        <x:v>2843</x:v>
      </x:c>
      <x:c r="D50">
        <x:v>20.716</x:v>
      </x:c>
      <x:c r="E50"/>
      <x:c r="F50"/>
      <x:c r="G50"/>
    </x:row>
    <x:row r="51">
      <x:c r="A51" t="str">
        <x:v>销售员002</x:v>
      </x:c>
      <x:c r="B51" t="s">
        <x:v>114</x:v>
      </x:c>
      <x:c r="C51">
        <x:v>896</x:v>
      </x:c>
      <x:c r="D51">
        <x:v>6.529</x:v>
      </x:c>
      <x:c r="E51"/>
      <x:c r="F51"/>
      <x:c r="G51"/>
    </x:row>
    <x:row r="52">
      <x:c r="A52" t="str">
        <x:v>销售员002</x:v>
      </x:c>
      <x:c r="B52" t="s">
        <x:v>115</x:v>
      </x:c>
      <x:c r="C52">
        <x:v>1683</x:v>
      </x:c>
      <x:c r="D52">
        <x:v>12.263</x:v>
      </x:c>
      <x:c r="E52"/>
      <x:c r="F52"/>
      <x:c r="G52"/>
    </x:row>
    <x:row r="53">
      <x:c r="A53" t="str">
        <x:v>销售员002</x:v>
      </x:c>
      <x:c r="B53" t="s">
        <x:v>116</x:v>
      </x:c>
      <x:c r="C53">
        <x:v>89</x:v>
      </x:c>
      <x:c r="D53">
        <x:v>0.648</x:v>
      </x:c>
      <x:c r="E53"/>
      <x:c r="F53"/>
      <x:c r="G53"/>
    </x:row>
    <x:row r="54">
      <x:c r="A54" t="str">
        <x:v>销售员002</x:v>
      </x:c>
      <x:c r="B54" t="s">
        <x:v>117</x:v>
      </x:c>
      <x:c r="C54">
        <x:v>5741.3</x:v>
      </x:c>
      <x:c r="D54">
        <x:v>34.861</x:v>
      </x:c>
      <x:c r="E54"/>
      <x:c r="F54"/>
      <x:c r="G54"/>
    </x:row>
    <x:row r="55">
      <x:c r="A55" t="str">
        <x:v>销售员002</x:v>
      </x:c>
      <x:c r="B55" t="s">
        <x:v>118</x:v>
      </x:c>
      <x:c r="C55">
        <x:v>1567.5</x:v>
      </x:c>
      <x:c r="D55">
        <x:v>9.518</x:v>
      </x:c>
      <x:c r="E55"/>
      <x:c r="F55"/>
      <x:c r="G55"/>
    </x:row>
    <x:row r="56">
      <x:c r="A56" t="str">
        <x:v>销售员002</x:v>
      </x:c>
      <x:c r="B56" t="s">
        <x:v>133</x:v>
      </x:c>
      <x:c r="C56">
        <x:v>26505.2</x:v>
      </x:c>
      <x:c r="D56">
        <x:v>169.184</x:v>
      </x:c>
      <x:c r="E56"/>
      <x:c r="F56"/>
      <x:c r="G56"/>
    </x:row>
    <x:row r="57">
      <x:c r="A57" t="s">
        <x:v>121</x:v>
      </x:c>
      <x:c r="B57"/>
      <x:c r="C57"/>
      <x:c r="D57"/>
      <x:c r="E57"/>
      <x:c r="F57"/>
      <x:c r="G57"/>
    </x:row>
    <x:row r="58">
      <x:c r="A58" t="s">
        <x:v>122</x:v>
      </x:c>
      <x:c r="B58"/>
      <x:c r="C58"/>
      <x:c r="D58"/>
      <x:c r="E58"/>
      <x:c r="F58"/>
      <x:c r="G58"/>
    </x:row>
    <x:row r="59">
      <x:c r="A59" t="s">
        <x:v>3</x:v>
      </x:c>
      <x:c r="B59" t="s">
        <x:v>88</x:v>
      </x:c>
      <x:c r="C59" t="s">
        <x:v>89</x:v>
      </x:c>
      <x:c r="D59" t="s">
        <x:v>90</x:v>
      </x:c>
      <x:c r="E59"/>
      <x:c r="F59"/>
      <x:c r="G59"/>
    </x:row>
    <x:row r="60">
      <x:c r="A60" t="str">
        <x:v>销售员001</x:v>
      </x:c>
      <x:c r="B60" t="s">
        <x:v>93</x:v>
      </x:c>
      <x:c r="C60">
        <x:v>2306</x:v>
      </x:c>
      <x:c r="D60">
        <x:v>14.786</x:v>
      </x:c>
      <x:c r="E60"/>
      <x:c r="F60"/>
      <x:c r="G60"/>
    </x:row>
    <x:row r="61">
      <x:c r="A61" t="str">
        <x:v>销售员001</x:v>
      </x:c>
      <x:c r="B61" t="s">
        <x:v>95</x:v>
      </x:c>
      <x:c r="C61">
        <x:v>9850.4</x:v>
      </x:c>
      <x:c r="D61">
        <x:v>59.812</x:v>
      </x:c>
      <x:c r="E61"/>
      <x:c r="F61"/>
      <x:c r="G61"/>
    </x:row>
    <x:row r="62">
      <x:c r="A62" t="str">
        <x:v>销售员001</x:v>
      </x:c>
      <x:c r="B62" t="s">
        <x:v>96</x:v>
      </x:c>
      <x:c r="C62">
        <x:v>0</x:v>
      </x:c>
      <x:c r="D62">
        <x:v>0</x:v>
      </x:c>
      <x:c r="E62"/>
      <x:c r="F62"/>
      <x:c r="G62"/>
    </x:row>
    <x:row r="63">
      <x:c r="A63" t="str">
        <x:v>销售员001</x:v>
      </x:c>
      <x:c r="B63" t="s">
        <x:v>99</x:v>
      </x:c>
      <x:c r="C63">
        <x:v>790</x:v>
      </x:c>
      <x:c r="D63">
        <x:v>5.756</x:v>
      </x:c>
      <x:c r="E63"/>
      <x:c r="F63"/>
      <x:c r="G63"/>
    </x:row>
    <x:row r="64">
      <x:c r="A64" t="str">
        <x:v>销售员001</x:v>
      </x:c>
      <x:c r="B64" t="s">
        <x:v>100</x:v>
      </x:c>
      <x:c r="C64">
        <x:v>496</x:v>
      </x:c>
      <x:c r="D64">
        <x:v>3.18</x:v>
      </x:c>
      <x:c r="E64"/>
      <x:c r="F64"/>
      <x:c r="G64"/>
    </x:row>
    <x:row r="65">
      <x:c r="A65" t="str">
        <x:v>销售员001</x:v>
      </x:c>
      <x:c r="B65" t="s">
        <x:v>106</x:v>
      </x:c>
      <x:c r="C65">
        <x:v>52</x:v>
      </x:c>
      <x:c r="D65">
        <x:v>0.354</x:v>
      </x:c>
      <x:c r="E65"/>
      <x:c r="F65"/>
      <x:c r="G65"/>
    </x:row>
    <x:row r="66">
      <x:c r="A66" t="str">
        <x:v>销售员001</x:v>
      </x:c>
      <x:c r="B66" t="s">
        <x:v>107</x:v>
      </x:c>
      <x:c r="C66">
        <x:v>28</x:v>
      </x:c>
      <x:c r="D66">
        <x:v>0.218</x:v>
      </x:c>
      <x:c r="E66"/>
      <x:c r="F66"/>
      <x:c r="G66"/>
    </x:row>
    <x:row r="67">
      <x:c r="A67" t="str">
        <x:v>销售员001</x:v>
      </x:c>
      <x:c r="B67" t="s">
        <x:v>108</x:v>
      </x:c>
      <x:c r="C67">
        <x:v>32</x:v>
      </x:c>
      <x:c r="D67">
        <x:v>0.194</x:v>
      </x:c>
      <x:c r="E67"/>
      <x:c r="F67"/>
      <x:c r="G67"/>
    </x:row>
    <x:row r="68">
      <x:c r="A68" t="str">
        <x:v>销售员001</x:v>
      </x:c>
      <x:c r="B68" t="s">
        <x:v>109</x:v>
      </x:c>
      <x:c r="C68">
        <x:v>28</x:v>
      </x:c>
      <x:c r="D68">
        <x:v>0.165</x:v>
      </x:c>
      <x:c r="E68"/>
      <x:c r="F68"/>
      <x:c r="G68"/>
    </x:row>
    <x:row r="69">
      <x:c r="A69" t="str">
        <x:v>销售员001</x:v>
      </x:c>
      <x:c r="B69" t="s">
        <x:v>112</x:v>
      </x:c>
      <x:c r="C69">
        <x:v>3454</x:v>
      </x:c>
      <x:c r="D69">
        <x:v>25.168</x:v>
      </x:c>
      <x:c r="E69"/>
      <x:c r="F69"/>
      <x:c r="G69"/>
    </x:row>
    <x:row r="70">
      <x:c r="A70" t="str">
        <x:v>销售员001</x:v>
      </x:c>
      <x:c r="B70" t="s">
        <x:v>114</x:v>
      </x:c>
      <x:c r="C70">
        <x:v>1398.1</x:v>
      </x:c>
      <x:c r="D70">
        <x:v>10.187</x:v>
      </x:c>
      <x:c r="E70"/>
      <x:c r="F70"/>
      <x:c r="G70"/>
    </x:row>
    <x:row r="71">
      <x:c r="A71" t="str">
        <x:v>销售员001</x:v>
      </x:c>
      <x:c r="B71" t="s">
        <x:v>115</x:v>
      </x:c>
      <x:c r="C71">
        <x:v>316</x:v>
      </x:c>
      <x:c r="D71">
        <x:v>2.303</x:v>
      </x:c>
      <x:c r="E71"/>
      <x:c r="F71"/>
      <x:c r="G71"/>
    </x:row>
    <x:row r="72">
      <x:c r="A72" t="str">
        <x:v>销售员001</x:v>
      </x:c>
      <x:c r="B72" t="s">
        <x:v>116</x:v>
      </x:c>
      <x:c r="C72">
        <x:v>484</x:v>
      </x:c>
      <x:c r="D72">
        <x:v>3.527</x:v>
      </x:c>
      <x:c r="E72"/>
      <x:c r="F72"/>
      <x:c r="G72"/>
    </x:row>
    <x:row r="73">
      <x:c r="A73" t="str">
        <x:v>销售员001</x:v>
      </x:c>
      <x:c r="B73" t="s">
        <x:v>117</x:v>
      </x:c>
      <x:c r="C73">
        <x:v>10266.7</x:v>
      </x:c>
      <x:c r="D73">
        <x:v>62.339</x:v>
      </x:c>
      <x:c r="E73"/>
      <x:c r="F73"/>
      <x:c r="G73"/>
    </x:row>
    <x:row r="74">
      <x:c r="A74" t="str">
        <x:v>销售员001</x:v>
      </x:c>
      <x:c r="B74" t="s">
        <x:v>118</x:v>
      </x:c>
      <x:c r="C74">
        <x:v>2183.7</x:v>
      </x:c>
      <x:c r="D74">
        <x:v>13.259</x:v>
      </x:c>
      <x:c r="E74"/>
      <x:c r="F74"/>
      <x:c r="G74"/>
    </x:row>
    <x:row r="75">
      <x:c r="A75" t="str">
        <x:v>销售员001</x:v>
      </x:c>
      <x:c r="B75" t="s">
        <x:v>133</x:v>
      </x:c>
      <x:c r="C75">
        <x:v>31684.9</x:v>
      </x:c>
      <x:c r="D75">
        <x:v>201.248</x:v>
      </x:c>
      <x:c r="E75"/>
      <x:c r="F75"/>
      <x:c r="G75"/>
    </x:row>
    <x:row r="76">
      <x:c r="A76" t="s">
        <x:v>121</x:v>
      </x:c>
      <x:c r="B76"/>
      <x:c r="C76"/>
      <x:c r="D76"/>
      <x:c r="E76"/>
      <x:c r="F76"/>
      <x:c r="G76"/>
    </x:row>
    <x:row r="77">
      <x:c r="A77" t="s">
        <x:v>122</x:v>
      </x:c>
      <x:c r="B77"/>
      <x:c r="C77"/>
      <x:c r="D77"/>
      <x:c r="E77"/>
      <x:c r="F77"/>
      <x:c r="G77"/>
    </x:row>
    <x:row r="78">
      <x:c r="A78" t="s">
        <x:v>3</x:v>
      </x:c>
      <x:c r="B78" t="s">
        <x:v>88</x:v>
      </x:c>
      <x:c r="C78" t="s">
        <x:v>89</x:v>
      </x:c>
      <x:c r="D78" t="s">
        <x:v>90</x:v>
      </x:c>
      <x:c r="E78"/>
      <x:c r="F78"/>
      <x:c r="G78"/>
    </x:row>
    <x:row r="79">
      <x:c r="A79" t="str">
        <x:v>销售员009</x:v>
      </x:c>
      <x:c r="B79" t="s">
        <x:v>91</x:v>
      </x:c>
      <x:c r="C79">
        <x:v>0</x:v>
      </x:c>
      <x:c r="D79">
        <x:v>0</x:v>
      </x:c>
      <x:c r="E79"/>
      <x:c r="F79"/>
      <x:c r="G79"/>
    </x:row>
    <x:row r="80">
      <x:c r="A80" t="str">
        <x:v>销售员009</x:v>
      </x:c>
      <x:c r="B80" t="s">
        <x:v>93</x:v>
      </x:c>
      <x:c r="C80">
        <x:v>2477</x:v>
      </x:c>
      <x:c r="D80">
        <x:v>15.883</x:v>
      </x:c>
      <x:c r="E80"/>
      <x:c r="F80"/>
      <x:c r="G80"/>
    </x:row>
    <x:row r="81">
      <x:c r="A81" t="str">
        <x:v>销售员009</x:v>
      </x:c>
      <x:c r="B81" t="s">
        <x:v>95</x:v>
      </x:c>
      <x:c r="C81">
        <x:v>8475.4</x:v>
      </x:c>
      <x:c r="D81">
        <x:v>51.463</x:v>
      </x:c>
      <x:c r="E81"/>
      <x:c r="F81"/>
      <x:c r="G81"/>
    </x:row>
    <x:row r="82">
      <x:c r="A82" t="str">
        <x:v>销售员009</x:v>
      </x:c>
      <x:c r="B82" t="s">
        <x:v>100</x:v>
      </x:c>
      <x:c r="C82">
        <x:v>1390</x:v>
      </x:c>
      <x:c r="D82">
        <x:v>8.913</x:v>
      </x:c>
      <x:c r="E82"/>
      <x:c r="F82"/>
      <x:c r="G82"/>
    </x:row>
    <x:row r="83">
      <x:c r="A83" t="str">
        <x:v>销售员009</x:v>
      </x:c>
      <x:c r="B83" t="s">
        <x:v>106</x:v>
      </x:c>
      <x:c r="C83">
        <x:v>62</x:v>
      </x:c>
      <x:c r="D83">
        <x:v>0.422</x:v>
      </x:c>
      <x:c r="E83"/>
      <x:c r="F83"/>
      <x:c r="G83"/>
    </x:row>
    <x:row r="84">
      <x:c r="A84" t="str">
        <x:v>销售员009</x:v>
      </x:c>
      <x:c r="B84" t="s">
        <x:v>107</x:v>
      </x:c>
      <x:c r="C84">
        <x:v>70</x:v>
      </x:c>
      <x:c r="D84">
        <x:v>0.544</x:v>
      </x:c>
      <x:c r="E84"/>
      <x:c r="F84"/>
      <x:c r="G84"/>
    </x:row>
    <x:row r="85">
      <x:c r="A85" t="str">
        <x:v>销售员009</x:v>
      </x:c>
      <x:c r="B85" t="s">
        <x:v>108</x:v>
      </x:c>
      <x:c r="C85">
        <x:v>17.5</x:v>
      </x:c>
      <x:c r="D85">
        <x:v>0.106</x:v>
      </x:c>
      <x:c r="E85"/>
      <x:c r="F85"/>
      <x:c r="G85"/>
    </x:row>
    <x:row r="86">
      <x:c r="A86" t="str">
        <x:v>销售员009</x:v>
      </x:c>
      <x:c r="B86" t="s">
        <x:v>109</x:v>
      </x:c>
      <x:c r="C86">
        <x:v>12</x:v>
      </x:c>
      <x:c r="D86">
        <x:v>0.071</x:v>
      </x:c>
      <x:c r="E86"/>
      <x:c r="F86"/>
      <x:c r="G86"/>
    </x:row>
    <x:row r="87">
      <x:c r="A87" t="str">
        <x:v>销售员009</x:v>
      </x:c>
      <x:c r="B87" t="s">
        <x:v>112</x:v>
      </x:c>
      <x:c r="C87">
        <x:v>5388</x:v>
      </x:c>
      <x:c r="D87">
        <x:v>39.26</x:v>
      </x:c>
      <x:c r="E87"/>
      <x:c r="F87"/>
      <x:c r="G87"/>
    </x:row>
    <x:row r="88">
      <x:c r="A88" t="str">
        <x:v>销售员009</x:v>
      </x:c>
      <x:c r="B88" t="s">
        <x:v>114</x:v>
      </x:c>
      <x:c r="C88">
        <x:v>0</x:v>
      </x:c>
      <x:c r="D88">
        <x:v>0</x:v>
      </x:c>
      <x:c r="E88"/>
      <x:c r="F88"/>
      <x:c r="G88"/>
    </x:row>
    <x:row r="89">
      <x:c r="A89" t="str">
        <x:v>销售员009</x:v>
      </x:c>
      <x:c r="B89" t="s">
        <x:v>115</x:v>
      </x:c>
      <x:c r="C89">
        <x:v>2147</x:v>
      </x:c>
      <x:c r="D89">
        <x:v>15.644</x:v>
      </x:c>
      <x:c r="E89"/>
      <x:c r="F89"/>
      <x:c r="G89"/>
    </x:row>
    <x:row r="90">
      <x:c r="A90" t="str">
        <x:v>销售员009</x:v>
      </x:c>
      <x:c r="B90" t="s">
        <x:v>116</x:v>
      </x:c>
      <x:c r="C90">
        <x:v>242</x:v>
      </x:c>
      <x:c r="D90">
        <x:v>1.763</x:v>
      </x:c>
      <x:c r="E90"/>
      <x:c r="F90"/>
      <x:c r="G90"/>
    </x:row>
    <x:row r="91">
      <x:c r="A91" t="str">
        <x:v>销售员009</x:v>
      </x:c>
      <x:c r="B91" t="s">
        <x:v>117</x:v>
      </x:c>
      <x:c r="C91">
        <x:v>6978.2</x:v>
      </x:c>
      <x:c r="D91">
        <x:v>42.372</x:v>
      </x:c>
      <x:c r="E91"/>
      <x:c r="F91"/>
      <x:c r="G91"/>
    </x:row>
    <x:row r="92">
      <x:c r="A92" t="str">
        <x:v>销售员009</x:v>
      </x:c>
      <x:c r="B92" t="s">
        <x:v>118</x:v>
      </x:c>
      <x:c r="C92">
        <x:v>2280</x:v>
      </x:c>
      <x:c r="D92">
        <x:v>13.844</x:v>
      </x:c>
      <x:c r="E92"/>
      <x:c r="F92"/>
      <x:c r="G92"/>
    </x:row>
    <x:row r="93">
      <x:c r="A93" t="str">
        <x:v>销售员009</x:v>
      </x:c>
      <x:c r="B93" t="s">
        <x:v>133</x:v>
      </x:c>
      <x:c r="C93">
        <x:v>29539.1</x:v>
      </x:c>
      <x:c r="D93">
        <x:v>190.285</x:v>
      </x:c>
      <x:c r="E93"/>
      <x:c r="F93"/>
      <x:c r="G93"/>
    </x:row>
    <x:row r="94">
      <x:c r="A94" t="s">
        <x:v>121</x:v>
      </x:c>
      <x:c r="B94"/>
      <x:c r="C94"/>
      <x:c r="D94"/>
      <x:c r="E94"/>
      <x:c r="F94"/>
      <x:c r="G94"/>
    </x:row>
    <x:row r="95">
      <x:c r="A95" t="s">
        <x:v>122</x:v>
      </x:c>
      <x:c r="B95"/>
      <x:c r="C95"/>
      <x:c r="D95"/>
      <x:c r="E95"/>
      <x:c r="F95"/>
      <x:c r="G95"/>
    </x:row>
    <x:row r="96">
      <x:c r="A96" t="s">
        <x:v>3</x:v>
      </x:c>
      <x:c r="B96" t="s">
        <x:v>88</x:v>
      </x:c>
      <x:c r="C96" t="s">
        <x:v>89</x:v>
      </x:c>
      <x:c r="D96" t="s">
        <x:v>90</x:v>
      </x:c>
      <x:c r="E96"/>
      <x:c r="F96"/>
      <x:c r="G96"/>
    </x:row>
    <x:row r="97">
      <x:c r="A97" t="str">
        <x:v>销售员006</x:v>
      </x:c>
      <x:c r="B97" t="s">
        <x:v>93</x:v>
      </x:c>
      <x:c r="C97">
        <x:v>10737.8</x:v>
      </x:c>
      <x:c r="D97">
        <x:v>68.851</x:v>
      </x:c>
      <x:c r="E97"/>
      <x:c r="F97"/>
      <x:c r="G97"/>
    </x:row>
    <x:row r="98">
      <x:c r="A98" t="str">
        <x:v>销售员006</x:v>
      </x:c>
      <x:c r="B98" t="s">
        <x:v>94</x:v>
      </x:c>
      <x:c r="C98">
        <x:v>347</x:v>
      </x:c>
      <x:c r="D98">
        <x:v>2.225</x:v>
      </x:c>
      <x:c r="E98"/>
      <x:c r="F98"/>
      <x:c r="G98"/>
    </x:row>
    <x:row r="99">
      <x:c r="A99" t="str">
        <x:v>销售员006</x:v>
      </x:c>
      <x:c r="B99" t="s">
        <x:v>95</x:v>
      </x:c>
      <x:c r="C99">
        <x:v>129</x:v>
      </x:c>
      <x:c r="D99">
        <x:v>0.783</x:v>
      </x:c>
      <x:c r="E99"/>
      <x:c r="F99"/>
      <x:c r="G99"/>
    </x:row>
    <x:row r="100">
      <x:c r="A100" t="str">
        <x:v>销售员006</x:v>
      </x:c>
      <x:c r="B100" t="s">
        <x:v>97</x:v>
      </x:c>
      <x:c r="C100">
        <x:v>405</x:v>
      </x:c>
      <x:c r="D100">
        <x:v>2.41</x:v>
      </x:c>
      <x:c r="E100"/>
      <x:c r="F100"/>
      <x:c r="G100"/>
    </x:row>
    <x:row r="101">
      <x:c r="A101" t="str">
        <x:v>销售员006</x:v>
      </x:c>
      <x:c r="B101" t="s">
        <x:v>99</x:v>
      </x:c>
      <x:c r="C101">
        <x:v>70</x:v>
      </x:c>
      <x:c r="D101">
        <x:v>0.51</x:v>
      </x:c>
      <x:c r="E101"/>
      <x:c r="F101"/>
      <x:c r="G101"/>
    </x:row>
    <x:row r="102">
      <x:c r="A102" t="str">
        <x:v>销售员006</x:v>
      </x:c>
      <x:c r="B102" t="s">
        <x:v>103</x:v>
      </x:c>
      <x:c r="C102">
        <x:v>103.5</x:v>
      </x:c>
      <x:c r="D102">
        <x:v>0.597</x:v>
      </x:c>
      <x:c r="E102"/>
      <x:c r="F102"/>
      <x:c r="G102"/>
    </x:row>
    <x:row r="103">
      <x:c r="A103" t="str">
        <x:v>销售员006</x:v>
      </x:c>
      <x:c r="B103" t="s">
        <x:v>106</x:v>
      </x:c>
      <x:c r="C103">
        <x:v>66</x:v>
      </x:c>
      <x:c r="D103">
        <x:v>0.449</x:v>
      </x:c>
      <x:c r="E103"/>
      <x:c r="F103"/>
      <x:c r="G103"/>
    </x:row>
    <x:row r="104">
      <x:c r="A104" t="str">
        <x:v>销售员006</x:v>
      </x:c>
      <x:c r="B104" t="s">
        <x:v>107</x:v>
      </x:c>
      <x:c r="C104">
        <x:v>10</x:v>
      </x:c>
      <x:c r="D104">
        <x:v>0.078</x:v>
      </x:c>
      <x:c r="E104"/>
      <x:c r="F104"/>
      <x:c r="G104"/>
    </x:row>
    <x:row r="105">
      <x:c r="A105" t="str">
        <x:v>销售员006</x:v>
      </x:c>
      <x:c r="B105" t="s">
        <x:v>109</x:v>
      </x:c>
      <x:c r="C105">
        <x:v>637</x:v>
      </x:c>
      <x:c r="D105">
        <x:v>3.752</x:v>
      </x:c>
      <x:c r="E105"/>
      <x:c r="F105"/>
      <x:c r="G105"/>
    </x:row>
    <x:row r="106">
      <x:c r="A106" t="str">
        <x:v>销售员006</x:v>
      </x:c>
      <x:c r="B106" t="s">
        <x:v>110</x:v>
      </x:c>
      <x:c r="C106">
        <x:v>96</x:v>
      </x:c>
      <x:c r="D106">
        <x:v>0.616</x:v>
      </x:c>
      <x:c r="E106"/>
      <x:c r="F106"/>
      <x:c r="G106"/>
    </x:row>
    <x:row r="107">
      <x:c r="A107" t="str">
        <x:v>销售员006</x:v>
      </x:c>
      <x:c r="B107" t="s">
        <x:v>111</x:v>
      </x:c>
      <x:c r="C107">
        <x:v>589</x:v>
      </x:c>
      <x:c r="D107">
        <x:v>3.576</x:v>
      </x:c>
      <x:c r="E107"/>
      <x:c r="F107"/>
      <x:c r="G107"/>
    </x:row>
    <x:row r="108">
      <x:c r="A108" t="str">
        <x:v>销售员006</x:v>
      </x:c>
      <x:c r="B108" t="s">
        <x:v>112</x:v>
      </x:c>
      <x:c r="C108">
        <x:v>68</x:v>
      </x:c>
      <x:c r="D108">
        <x:v>0.495</x:v>
      </x:c>
      <x:c r="E108"/>
      <x:c r="F108"/>
      <x:c r="G108"/>
    </x:row>
    <x:row r="109">
      <x:c r="A109" t="str">
        <x:v>销售员006</x:v>
      </x:c>
      <x:c r="B109" t="s">
        <x:v>133</x:v>
      </x:c>
      <x:c r="C109">
        <x:v>13258.3</x:v>
      </x:c>
      <x:c r="D109">
        <x:v>84.342</x:v>
      </x:c>
      <x:c r="E109"/>
      <x:c r="F109"/>
      <x:c r="G109"/>
    </x:row>
    <x:row r="110">
      <x:c r="A110" t="s">
        <x:v>121</x:v>
      </x:c>
      <x:c r="B110"/>
      <x:c r="C110"/>
      <x:c r="D110"/>
      <x:c r="E110"/>
      <x:c r="F110"/>
      <x:c r="G110"/>
    </x:row>
    <x:row r="111">
      <x:c r="A111" t="s">
        <x:v>122</x:v>
      </x:c>
      <x:c r="B111"/>
      <x:c r="C111"/>
      <x:c r="D111"/>
      <x:c r="E111"/>
      <x:c r="F111"/>
      <x:c r="G111"/>
    </x:row>
    <x:row r="112">
      <x:c r="A112" t="s">
        <x:v>3</x:v>
      </x:c>
      <x:c r="B112" t="s">
        <x:v>88</x:v>
      </x:c>
      <x:c r="C112" t="s">
        <x:v>89</x:v>
      </x:c>
      <x:c r="D112" t="s">
        <x:v>90</x:v>
      </x:c>
      <x:c r="E112"/>
      <x:c r="F112"/>
      <x:c r="G112"/>
    </x:row>
    <x:row r="113">
      <x:c r="A113" t="str">
        <x:v>销售员005</x:v>
      </x:c>
      <x:c r="B113" t="s">
        <x:v>92</x:v>
      </x:c>
      <x:c r="C113">
        <x:v>7.5</x:v>
      </x:c>
      <x:c r="D113">
        <x:v>0.046</x:v>
      </x:c>
      <x:c r="E113"/>
      <x:c r="F113"/>
      <x:c r="G113"/>
    </x:row>
    <x:row r="114">
      <x:c r="A114" t="str">
        <x:v>销售员005</x:v>
      </x:c>
      <x:c r="B114" t="s">
        <x:v>93</x:v>
      </x:c>
      <x:c r="C114">
        <x:v>10960</x:v>
      </x:c>
      <x:c r="D114">
        <x:v>70.276</x:v>
      </x:c>
      <x:c r="E114"/>
      <x:c r="F114"/>
      <x:c r="G114"/>
    </x:row>
    <x:row r="115">
      <x:c r="A115" t="str">
        <x:v>销售员005</x:v>
      </x:c>
      <x:c r="B115" t="s">
        <x:v>94</x:v>
      </x:c>
      <x:c r="C115">
        <x:v>612</x:v>
      </x:c>
      <x:c r="D115">
        <x:v>3.924</x:v>
      </x:c>
      <x:c r="E115"/>
      <x:c r="F115"/>
      <x:c r="G115"/>
    </x:row>
    <x:row r="116">
      <x:c r="A116" t="str">
        <x:v>销售员005</x:v>
      </x:c>
      <x:c r="B116" t="s">
        <x:v>95</x:v>
      </x:c>
      <x:c r="C116">
        <x:v>60.7</x:v>
      </x:c>
      <x:c r="D116">
        <x:v>0.368</x:v>
      </x:c>
      <x:c r="E116"/>
      <x:c r="F116"/>
      <x:c r="G116"/>
    </x:row>
    <x:row r="117">
      <x:c r="A117" t="str">
        <x:v>销售员005</x:v>
      </x:c>
      <x:c r="B117" t="s">
        <x:v>97</x:v>
      </x:c>
      <x:c r="C117">
        <x:v>790.7</x:v>
      </x:c>
      <x:c r="D117">
        <x:v>4.705</x:v>
      </x:c>
      <x:c r="E117"/>
      <x:c r="F117"/>
      <x:c r="G117"/>
    </x:row>
    <x:row r="118">
      <x:c r="A118" t="str">
        <x:v>销售员005</x:v>
      </x:c>
      <x:c r="B118" t="s">
        <x:v>103</x:v>
      </x:c>
      <x:c r="C118">
        <x:v>175.8</x:v>
      </x:c>
      <x:c r="D118">
        <x:v>1.014</x:v>
      </x:c>
      <x:c r="E118"/>
      <x:c r="F118"/>
      <x:c r="G118"/>
    </x:row>
    <x:row r="119">
      <x:c r="A119" t="str">
        <x:v>销售员005</x:v>
      </x:c>
      <x:c r="B119" t="s">
        <x:v>104</x:v>
      </x:c>
      <x:c r="C119">
        <x:v>40</x:v>
      </x:c>
      <x:c r="D119">
        <x:v>0.134</x:v>
      </x:c>
      <x:c r="E119"/>
      <x:c r="F119"/>
      <x:c r="G119"/>
    </x:row>
    <x:row r="120">
      <x:c r="A120" t="str">
        <x:v>销售员005</x:v>
      </x:c>
      <x:c r="B120" t="s">
        <x:v>105</x:v>
      </x:c>
      <x:c r="C120">
        <x:v>34</x:v>
      </x:c>
      <x:c r="D120">
        <x:v>0.202</x:v>
      </x:c>
      <x:c r="E120"/>
      <x:c r="F120"/>
      <x:c r="G120"/>
    </x:row>
    <x:row r="121">
      <x:c r="A121" t="str">
        <x:v>销售员005</x:v>
      </x:c>
      <x:c r="B121" t="s">
        <x:v>106</x:v>
      </x:c>
      <x:c r="C121">
        <x:v>213</x:v>
      </x:c>
      <x:c r="D121">
        <x:v>1.449</x:v>
      </x:c>
      <x:c r="E121"/>
      <x:c r="F121"/>
      <x:c r="G121"/>
    </x:row>
    <x:row r="122">
      <x:c r="A122" t="str">
        <x:v>销售员005</x:v>
      </x:c>
      <x:c r="B122" t="s">
        <x:v>107</x:v>
      </x:c>
      <x:c r="C122">
        <x:v>133</x:v>
      </x:c>
      <x:c r="D122">
        <x:v>1.034</x:v>
      </x:c>
      <x:c r="E122"/>
      <x:c r="F122"/>
      <x:c r="G122"/>
    </x:row>
    <x:row r="123">
      <x:c r="A123" t="str">
        <x:v>销售员005</x:v>
      </x:c>
      <x:c r="B123" t="s">
        <x:v>108</x:v>
      </x:c>
      <x:c r="C123">
        <x:v>12.5</x:v>
      </x:c>
      <x:c r="D123">
        <x:v>0.076</x:v>
      </x:c>
      <x:c r="E123"/>
      <x:c r="F123"/>
      <x:c r="G123"/>
    </x:row>
    <x:row r="124">
      <x:c r="A124" t="str">
        <x:v>销售员005</x:v>
      </x:c>
      <x:c r="B124" t="s">
        <x:v>109</x:v>
      </x:c>
      <x:c r="C124">
        <x:v>670</x:v>
      </x:c>
      <x:c r="D124">
        <x:v>3.946</x:v>
      </x:c>
      <x:c r="E124"/>
      <x:c r="F124"/>
      <x:c r="G124"/>
    </x:row>
    <x:row r="125">
      <x:c r="A125" t="str">
        <x:v>销售员005</x:v>
      </x:c>
      <x:c r="B125" t="s">
        <x:v>110</x:v>
      </x:c>
      <x:c r="C125">
        <x:v>375</x:v>
      </x:c>
      <x:c r="D125">
        <x:v>2.405</x:v>
      </x:c>
      <x:c r="E125"/>
      <x:c r="F125"/>
      <x:c r="G125"/>
    </x:row>
    <x:row r="126">
      <x:c r="A126" t="str">
        <x:v>销售员005</x:v>
      </x:c>
      <x:c r="B126" t="s">
        <x:v>112</x:v>
      </x:c>
      <x:c r="C126">
        <x:v>372.5</x:v>
      </x:c>
      <x:c r="D126">
        <x:v>2.714</x:v>
      </x:c>
      <x:c r="E126"/>
      <x:c r="F126"/>
      <x:c r="G126"/>
    </x:row>
    <x:row r="127">
      <x:c r="A127" t="str">
        <x:v>销售员005</x:v>
      </x:c>
      <x:c r="B127" t="s">
        <x:v>114</x:v>
      </x:c>
      <x:c r="C127">
        <x:v>14</x:v>
      </x:c>
      <x:c r="D127">
        <x:v>0.102</x:v>
      </x:c>
      <x:c r="E127"/>
      <x:c r="F127"/>
      <x:c r="G127"/>
    </x:row>
    <x:row r="128">
      <x:c r="A128" t="str">
        <x:v>销售员005</x:v>
      </x:c>
      <x:c r="B128" t="s">
        <x:v>116</x:v>
      </x:c>
      <x:c r="C128">
        <x:v>262</x:v>
      </x:c>
      <x:c r="D128">
        <x:v>1.909</x:v>
      </x:c>
      <x:c r="E128"/>
      <x:c r="F128"/>
      <x:c r="G128"/>
    </x:row>
    <x:row r="129">
      <x:c r="A129" t="str">
        <x:v>销售员005</x:v>
      </x:c>
      <x:c r="B129" t="s">
        <x:v>133</x:v>
      </x:c>
      <x:c r="C129">
        <x:v>14732.7</x:v>
      </x:c>
      <x:c r="D129">
        <x:v>94.304</x:v>
      </x:c>
      <x:c r="E129"/>
      <x:c r="F129"/>
      <x:c r="G129"/>
    </x:row>
    <x:row r="130">
      <x:c r="A130"/>
      <x:c r="B130"/>
      <x:c r="C130"/>
      <x:c r="D130"/>
      <x:c r="E130"/>
      <x:c r="F130"/>
      <x:c r="G130"/>
    </x:row>
    <x:row r="131">
      <x:c r="A131"/>
      <x:c r="B131"/>
      <x:c r="C131"/>
      <x:c r="D131"/>
      <x:c r="E131"/>
      <x:c r="F131"/>
      <x:c r="G131"/>
    </x:row>
    <x:row r="132">
      <x:c r="A132"/>
      <x:c r="B132"/>
      <x:c r="C132"/>
      <x:c r="D132"/>
      <x:c r="E132"/>
      <x:c r="F132"/>
      <x:c r="G132"/>
    </x:row>
    <x:row r="133">
      <x:c r="A133"/>
      <x:c r="B133"/>
      <x:c r="C133"/>
      <x:c r="D133"/>
      <x:c r="E133"/>
      <x:c r="F133"/>
      <x:c r="G133"/>
    </x:row>
    <x:row r="134">
      <x:c r="A134"/>
      <x:c r="B134"/>
      <x:c r="C134"/>
      <x:c r="D134"/>
      <x:c r="E134"/>
      <x:c r="F134"/>
      <x:c r="G134"/>
    </x:row>
    <x:row r="135">
      <x:c r="A135"/>
      <x:c r="B135"/>
      <x:c r="C135"/>
      <x:c r="D135"/>
      <x:c r="E135"/>
      <x:c r="F135"/>
      <x:c r="G135"/>
    </x:row>
    <x:row r="136">
      <x:c r="A136"/>
      <x:c r="B136"/>
      <x:c r="C136" t="n">
        <x:f>SUBTOTAL(9,C2:C135)</x:f>
        <x:v>350919</x:v>
      </x:c>
      <x:c r="D136"/>
      <x:c r="E136"/>
      <x:c r="F136"/>
      <x:c r="G136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39.5" hidden="0" customWidth="1"/>
    <x:col min="3" max="3" width="9" hidden="0" customWidth="1"/>
    <x:col min="4" max="4" width="9" hidden="0" customWidth="1"/>
    <x:col min="6" max="6" width="7.5" hidden="0" customWidth="1"/>
  </x:cols>
  <x:sheetData>
    <x:row r="1">
      <x:c r="A1" t="s">
        <x:v>3</x:v>
      </x:c>
      <x:c r="B1" t="s">
        <x:v>88</x:v>
      </x:c>
      <x:c r="C1" t="s">
        <x:v>89</x:v>
      </x:c>
      <x:c r="D1" t="s">
        <x:v>90</x:v>
      </x:c>
      <x:c r="E1"/>
      <x:c r="F1" t="n">
        <x:f>C137</x:f>
        <x:v>367755.60000000003</x:v>
      </x:c>
    </x:row>
    <x:row r="2">
      <x:c r="A2" t="str">
        <x:v>销售员003</x:v>
      </x:c>
      <x:c r="B2" t="s">
        <x:v>92</x:v>
      </x:c>
      <x:c r="C2">
        <x:v>23</x:v>
      </x:c>
      <x:c r="D2">
        <x:v>0.14</x:v>
      </x:c>
      <x:c r="E2"/>
      <x:c r="F2"/>
    </x:row>
    <x:row r="3">
      <x:c r="A3" t="str">
        <x:v>销售员003</x:v>
      </x:c>
      <x:c r="B3" t="s">
        <x:v>93</x:v>
      </x:c>
      <x:c r="C3">
        <x:v>3128</x:v>
      </x:c>
      <x:c r="D3">
        <x:v>20.057</x:v>
      </x:c>
      <x:c r="E3"/>
      <x:c r="F3"/>
    </x:row>
    <x:row r="4">
      <x:c r="A4" t="str">
        <x:v>销售员003</x:v>
      </x:c>
      <x:c r="B4" t="s">
        <x:v>95</x:v>
      </x:c>
      <x:c r="C4">
        <x:v>15338.1</x:v>
      </x:c>
      <x:c r="D4">
        <x:v>93.133</x:v>
      </x:c>
      <x:c r="E4"/>
      <x:c r="F4"/>
    </x:row>
    <x:row r="5">
      <x:c r="A5" t="str">
        <x:v>销售员003</x:v>
      </x:c>
      <x:c r="B5" t="s">
        <x:v>100</x:v>
      </x:c>
      <x:c r="C5">
        <x:v>1152.6</x:v>
      </x:c>
      <x:c r="D5">
        <x:v>7.39</x:v>
      </x:c>
      <x:c r="E5"/>
      <x:c r="F5"/>
    </x:row>
    <x:row r="6">
      <x:c r="A6" t="str">
        <x:v>销售员003</x:v>
      </x:c>
      <x:c r="B6" t="s">
        <x:v>107</x:v>
      </x:c>
      <x:c r="C6">
        <x:v>20</x:v>
      </x:c>
      <x:c r="D6">
        <x:v>0.155</x:v>
      </x:c>
      <x:c r="E6"/>
      <x:c r="F6"/>
    </x:row>
    <x:row r="7">
      <x:c r="A7" t="str">
        <x:v>销售员003</x:v>
      </x:c>
      <x:c r="B7" t="s">
        <x:v>108</x:v>
      </x:c>
      <x:c r="C7">
        <x:v>27.3</x:v>
      </x:c>
      <x:c r="D7">
        <x:v>0.165</x:v>
      </x:c>
      <x:c r="E7"/>
      <x:c r="F7"/>
    </x:row>
    <x:row r="8">
      <x:c r="A8" t="str">
        <x:v>销售员003</x:v>
      </x:c>
      <x:c r="B8" t="s">
        <x:v>109</x:v>
      </x:c>
      <x:c r="C8">
        <x:v>64</x:v>
      </x:c>
      <x:c r="D8">
        <x:v>0.377</x:v>
      </x:c>
      <x:c r="E8"/>
      <x:c r="F8"/>
    </x:row>
    <x:row r="9">
      <x:c r="A9" t="str">
        <x:v>销售员003</x:v>
      </x:c>
      <x:c r="B9" t="s">
        <x:v>110</x:v>
      </x:c>
      <x:c r="C9">
        <x:v>264</x:v>
      </x:c>
      <x:c r="D9">
        <x:v>1.693</x:v>
      </x:c>
      <x:c r="E9"/>
      <x:c r="F9"/>
    </x:row>
    <x:row r="10">
      <x:c r="A10" t="str">
        <x:v>销售员003</x:v>
      </x:c>
      <x:c r="B10" t="s">
        <x:v>112</x:v>
      </x:c>
      <x:c r="C10">
        <x:v>3742</x:v>
      </x:c>
      <x:c r="D10">
        <x:v>27.266</x:v>
      </x:c>
      <x:c r="E10"/>
      <x:c r="F10"/>
    </x:row>
    <x:row r="11">
      <x:c r="A11" t="str">
        <x:v>销售员003</x:v>
      </x:c>
      <x:c r="B11" t="s">
        <x:v>113</x:v>
      </x:c>
      <x:c r="C11">
        <x:v>82</x:v>
      </x:c>
      <x:c r="D11">
        <x:v>0.498</x:v>
      </x:c>
      <x:c r="E11"/>
      <x:c r="F11"/>
    </x:row>
    <x:row r="12">
      <x:c r="A12" t="str">
        <x:v>销售员003</x:v>
      </x:c>
      <x:c r="B12" t="s">
        <x:v>114</x:v>
      </x:c>
      <x:c r="C12">
        <x:v>56</x:v>
      </x:c>
      <x:c r="D12">
        <x:v>0.408</x:v>
      </x:c>
      <x:c r="E12"/>
      <x:c r="F12"/>
    </x:row>
    <x:row r="13">
      <x:c r="A13" t="str">
        <x:v>销售员003</x:v>
      </x:c>
      <x:c r="B13" t="s">
        <x:v>115</x:v>
      </x:c>
      <x:c r="C13">
        <x:v>2365</x:v>
      </x:c>
      <x:c r="D13">
        <x:v>17.233</x:v>
      </x:c>
      <x:c r="E13"/>
      <x:c r="F13"/>
    </x:row>
    <x:row r="14">
      <x:c r="A14" t="str">
        <x:v>销售员003</x:v>
      </x:c>
      <x:c r="B14" t="s">
        <x:v>118</x:v>
      </x:c>
      <x:c r="C14">
        <x:v>9219.3</x:v>
      </x:c>
      <x:c r="D14">
        <x:v>55.98</x:v>
      </x:c>
      <x:c r="E14"/>
      <x:c r="F14"/>
    </x:row>
    <x:row r="15">
      <x:c r="A15" t="str">
        <x:v>销售员003</x:v>
      </x:c>
      <x:c r="B15" t="s">
        <x:v>125</x:v>
      </x:c>
      <x:c r="C15">
        <x:v>56</x:v>
      </x:c>
      <x:c r="D15">
        <x:v>0.449</x:v>
      </x:c>
      <x:c r="E15"/>
      <x:c r="F15"/>
    </x:row>
    <x:row r="16">
      <x:c r="A16" t="str">
        <x:v>销售员003</x:v>
      </x:c>
      <x:c r="B16" t="s">
        <x:v>119</x:v>
      </x:c>
      <x:c r="C16">
        <x:v>10.9</x:v>
      </x:c>
      <x:c r="D16">
        <x:v>0.066</x:v>
      </x:c>
      <x:c r="E16"/>
      <x:c r="F16"/>
    </x:row>
    <x:row r="17">
      <x:c r="A17" t="str">
        <x:v>销售员003</x:v>
      </x:c>
      <x:c r="B17" t="s">
        <x:v>120</x:v>
      </x:c>
      <x:c r="C17">
        <x:v>15</x:v>
      </x:c>
      <x:c r="D17">
        <x:v>0.089</x:v>
      </x:c>
      <x:c r="E17"/>
      <x:c r="F17"/>
    </x:row>
    <x:row r="18">
      <x:c r="A18" t="str">
        <x:v>销售员003</x:v>
      </x:c>
      <x:c r="B18" t="s">
        <x:v>126</x:v>
      </x:c>
      <x:c r="C18">
        <x:v>195</x:v>
      </x:c>
      <x:c r="D18">
        <x:v>1.16</x:v>
      </x:c>
      <x:c r="E18"/>
      <x:c r="F18"/>
    </x:row>
    <x:row r="19">
      <x:c r="A19" t="str">
        <x:v>销售员003</x:v>
      </x:c>
      <x:c r="B19" t="s">
        <x:v>127</x:v>
      </x:c>
      <x:c r="C19">
        <x:v>5</x:v>
      </x:c>
      <x:c r="D19">
        <x:v>0.03</x:v>
      </x:c>
      <x:c r="E19"/>
      <x:c r="F19"/>
    </x:row>
    <x:row r="20">
      <x:c r="A20" t="str">
        <x:v>销售员003</x:v>
      </x:c>
      <x:c r="B20" t="s">
        <x:v>128</x:v>
      </x:c>
      <x:c r="C20">
        <x:v>186.6</x:v>
      </x:c>
      <x:c r="D20">
        <x:v>1.133</x:v>
      </x:c>
      <x:c r="E20"/>
      <x:c r="F20"/>
    </x:row>
    <x:row r="21">
      <x:c r="A21" t="str">
        <x:v>销售员003</x:v>
      </x:c>
      <x:c r="B21" t="s">
        <x:v>129</x:v>
      </x:c>
      <x:c r="C21">
        <x:v>28</x:v>
      </x:c>
      <x:c r="D21">
        <x:v>0.17</x:v>
      </x:c>
      <x:c r="E21"/>
      <x:c r="F21"/>
    </x:row>
    <x:row r="22">
      <x:c r="A22" t="str">
        <x:v>销售员003</x:v>
      </x:c>
      <x:c r="B22" t="s">
        <x:v>131</x:v>
      </x:c>
      <x:c r="C22">
        <x:v>163.2</x:v>
      </x:c>
      <x:c r="D22">
        <x:v>0.991</x:v>
      </x:c>
      <x:c r="E22"/>
      <x:c r="F22"/>
    </x:row>
    <x:row r="23">
      <x:c r="A23" t="str">
        <x:v>销售员003</x:v>
      </x:c>
      <x:c r="B23" t="s">
        <x:v>132</x:v>
      </x:c>
      <x:c r="C23">
        <x:v>2</x:v>
      </x:c>
      <x:c r="D23">
        <x:v>0.012</x:v>
      </x:c>
      <x:c r="E23"/>
      <x:c r="F23"/>
    </x:row>
    <x:row r="24">
      <x:c r="A24" t="str">
        <x:v>销售员003</x:v>
      </x:c>
      <x:c r="B24" t="s">
        <x:v>133</x:v>
      </x:c>
      <x:c r="C24">
        <x:v>36143</x:v>
      </x:c>
      <x:c r="D24">
        <x:v>228.595</x:v>
      </x:c>
      <x:c r="E24"/>
      <x:c r="F24"/>
    </x:row>
    <x:row r="25">
      <x:c r="A25" t="s">
        <x:v>3</x:v>
      </x:c>
      <x:c r="B25" t="s">
        <x:v>88</x:v>
      </x:c>
      <x:c r="C25" t="s">
        <x:v>89</x:v>
      </x:c>
      <x:c r="D25" t="s">
        <x:v>90</x:v>
      </x:c>
      <x:c r="E25"/>
      <x:c r="F25"/>
    </x:row>
    <x:row r="26">
      <x:c r="A26" t="str">
        <x:v>销售员004</x:v>
      </x:c>
      <x:c r="B26" t="s">
        <x:v>92</x:v>
      </x:c>
      <x:c r="C26">
        <x:v>316</x:v>
      </x:c>
      <x:c r="D26">
        <x:v>1.919</x:v>
      </x:c>
      <x:c r="E26"/>
      <x:c r="F26"/>
    </x:row>
    <x:row r="27">
      <x:c r="A27" t="str">
        <x:v>销售员004</x:v>
      </x:c>
      <x:c r="B27" t="s">
        <x:v>93</x:v>
      </x:c>
      <x:c r="C27">
        <x:v>2536.5</x:v>
      </x:c>
      <x:c r="D27">
        <x:v>16.264</x:v>
      </x:c>
      <x:c r="E27"/>
      <x:c r="F27"/>
    </x:row>
    <x:row r="28">
      <x:c r="A28" t="str">
        <x:v>销售员004</x:v>
      </x:c>
      <x:c r="B28" t="s">
        <x:v>95</x:v>
      </x:c>
      <x:c r="C28">
        <x:v>17370.7</x:v>
      </x:c>
      <x:c r="D28">
        <x:v>105.475</x:v>
      </x:c>
      <x:c r="E28"/>
      <x:c r="F28"/>
    </x:row>
    <x:row r="29">
      <x:c r="A29" t="str">
        <x:v>销售员004</x:v>
      </x:c>
      <x:c r="B29" t="s">
        <x:v>123</x:v>
      </x:c>
      <x:c r="C29">
        <x:v>162</x:v>
      </x:c>
      <x:c r="D29">
        <x:v>0.984</x:v>
      </x:c>
      <x:c r="E29"/>
      <x:c r="F29"/>
    </x:row>
    <x:row r="30">
      <x:c r="A30" t="str">
        <x:v>销售员004</x:v>
      </x:c>
      <x:c r="B30" t="s">
        <x:v>99</x:v>
      </x:c>
      <x:c r="C30">
        <x:v>5</x:v>
      </x:c>
      <x:c r="D30">
        <x:v>0.036</x:v>
      </x:c>
      <x:c r="E30"/>
      <x:c r="F30"/>
    </x:row>
    <x:row r="31">
      <x:c r="A31" t="str">
        <x:v>销售员004</x:v>
      </x:c>
      <x:c r="B31" t="s">
        <x:v>100</x:v>
      </x:c>
      <x:c r="C31">
        <x:v>656</x:v>
      </x:c>
      <x:c r="D31">
        <x:v>4.206</x:v>
      </x:c>
      <x:c r="E31"/>
      <x:c r="F31"/>
    </x:row>
    <x:row r="32">
      <x:c r="A32" t="str">
        <x:v>销售员004</x:v>
      </x:c>
      <x:c r="B32" t="s">
        <x:v>107</x:v>
      </x:c>
      <x:c r="C32">
        <x:v>13</x:v>
      </x:c>
      <x:c r="D32">
        <x:v>0.101</x:v>
      </x:c>
      <x:c r="E32"/>
      <x:c r="F32"/>
    </x:row>
    <x:row r="33">
      <x:c r="A33" t="str">
        <x:v>销售员004</x:v>
      </x:c>
      <x:c r="B33" t="s">
        <x:v>124</x:v>
      </x:c>
      <x:c r="C33">
        <x:v>140</x:v>
      </x:c>
      <x:c r="D33">
        <x:v>0.85</x:v>
      </x:c>
      <x:c r="E33"/>
      <x:c r="F33"/>
    </x:row>
    <x:row r="34">
      <x:c r="A34" t="str">
        <x:v>销售员004</x:v>
      </x:c>
      <x:c r="B34" t="s">
        <x:v>108</x:v>
      </x:c>
      <x:c r="C34">
        <x:v>29.9</x:v>
      </x:c>
      <x:c r="D34">
        <x:v>0.182</x:v>
      </x:c>
      <x:c r="E34"/>
      <x:c r="F34"/>
    </x:row>
    <x:row r="35">
      <x:c r="A35" t="str">
        <x:v>销售员004</x:v>
      </x:c>
      <x:c r="B35" t="s">
        <x:v>109</x:v>
      </x:c>
      <x:c r="C35">
        <x:v>46</x:v>
      </x:c>
      <x:c r="D35">
        <x:v>0.271</x:v>
      </x:c>
      <x:c r="E35"/>
      <x:c r="F35"/>
    </x:row>
    <x:row r="36">
      <x:c r="A36" t="str">
        <x:v>销售员004</x:v>
      </x:c>
      <x:c r="B36" t="s">
        <x:v>112</x:v>
      </x:c>
      <x:c r="C36">
        <x:v>3134</x:v>
      </x:c>
      <x:c r="D36">
        <x:v>22.836</x:v>
      </x:c>
      <x:c r="E36"/>
      <x:c r="F36"/>
    </x:row>
    <x:row r="37">
      <x:c r="A37" t="str">
        <x:v>销售员004</x:v>
      </x:c>
      <x:c r="B37" t="s">
        <x:v>113</x:v>
      </x:c>
      <x:c r="C37">
        <x:v>1.5</x:v>
      </x:c>
      <x:c r="D37">
        <x:v>0.009</x:v>
      </x:c>
      <x:c r="E37"/>
      <x:c r="F37"/>
    </x:row>
    <x:row r="38">
      <x:c r="A38" t="str">
        <x:v>销售员004</x:v>
      </x:c>
      <x:c r="B38" t="s">
        <x:v>117</x:v>
      </x:c>
      <x:c r="C38">
        <x:v>1.3</x:v>
      </x:c>
      <x:c r="D38">
        <x:v>0.008</x:v>
      </x:c>
      <x:c r="E38"/>
      <x:c r="F38"/>
    </x:row>
    <x:row r="39">
      <x:c r="A39" t="str">
        <x:v>销售员004</x:v>
      </x:c>
      <x:c r="B39" t="s">
        <x:v>114</x:v>
      </x:c>
      <x:c r="C39">
        <x:v>285</x:v>
      </x:c>
      <x:c r="D39">
        <x:v>2.077</x:v>
      </x:c>
      <x:c r="E39"/>
      <x:c r="F39"/>
    </x:row>
    <x:row r="40">
      <x:c r="A40" t="str">
        <x:v>销售员004</x:v>
      </x:c>
      <x:c r="B40" t="s">
        <x:v>115</x:v>
      </x:c>
      <x:c r="C40">
        <x:v>2017</x:v>
      </x:c>
      <x:c r="D40">
        <x:v>14.697</x:v>
      </x:c>
      <x:c r="E40"/>
      <x:c r="F40"/>
    </x:row>
    <x:row r="41">
      <x:c r="A41" t="str">
        <x:v>销售员004</x:v>
      </x:c>
      <x:c r="B41" t="s">
        <x:v>118</x:v>
      </x:c>
      <x:c r="C41">
        <x:v>10800.1</x:v>
      </x:c>
      <x:c r="D41">
        <x:v>65.578</x:v>
      </x:c>
      <x:c r="E41"/>
      <x:c r="F41"/>
    </x:row>
    <x:row r="42">
      <x:c r="A42" t="str">
        <x:v>销售员004</x:v>
      </x:c>
      <x:c r="B42" t="s">
        <x:v>125</x:v>
      </x:c>
      <x:c r="C42">
        <x:v>15</x:v>
      </x:c>
      <x:c r="D42">
        <x:v>0.12</x:v>
      </x:c>
      <x:c r="E42"/>
      <x:c r="F42"/>
    </x:row>
    <x:row r="43">
      <x:c r="A43" t="str">
        <x:v>销售员004</x:v>
      </x:c>
      <x:c r="B43" t="s">
        <x:v>119</x:v>
      </x:c>
      <x:c r="C43">
        <x:v>30.9</x:v>
      </x:c>
      <x:c r="D43">
        <x:v>0.188</x:v>
      </x:c>
      <x:c r="E43"/>
      <x:c r="F43"/>
    </x:row>
    <x:row r="44">
      <x:c r="A44" t="str">
        <x:v>销售员004</x:v>
      </x:c>
      <x:c r="B44" t="s">
        <x:v>126</x:v>
      </x:c>
      <x:c r="C44">
        <x:v>173</x:v>
      </x:c>
      <x:c r="D44">
        <x:v>1.029</x:v>
      </x:c>
      <x:c r="E44"/>
      <x:c r="F44"/>
    </x:row>
    <x:row r="45">
      <x:c r="A45" t="str">
        <x:v>销售员004</x:v>
      </x:c>
      <x:c r="B45" t="s">
        <x:v>128</x:v>
      </x:c>
      <x:c r="C45">
        <x:v>207.7</x:v>
      </x:c>
      <x:c r="D45">
        <x:v>1.261</x:v>
      </x:c>
      <x:c r="E45"/>
      <x:c r="F45"/>
    </x:row>
    <x:row r="46">
      <x:c r="A46" t="str">
        <x:v>销售员004</x:v>
      </x:c>
      <x:c r="B46" t="s">
        <x:v>129</x:v>
      </x:c>
      <x:c r="C46">
        <x:v>46</x:v>
      </x:c>
      <x:c r="D46">
        <x:v>0.279</x:v>
      </x:c>
      <x:c r="E46"/>
      <x:c r="F46"/>
    </x:row>
    <x:row r="47">
      <x:c r="A47" t="str">
        <x:v>销售员004</x:v>
      </x:c>
      <x:c r="B47" t="s">
        <x:v>131</x:v>
      </x:c>
      <x:c r="C47">
        <x:v>142</x:v>
      </x:c>
      <x:c r="D47">
        <x:v>0.862</x:v>
      </x:c>
      <x:c r="E47"/>
      <x:c r="F47"/>
    </x:row>
    <x:row r="48">
      <x:c r="A48" t="str">
        <x:v>销售员004</x:v>
      </x:c>
      <x:c r="B48" t="s">
        <x:v>133</x:v>
      </x:c>
      <x:c r="C48">
        <x:v>38128.6</x:v>
      </x:c>
      <x:c r="D48">
        <x:v>239.232</x:v>
      </x:c>
      <x:c r="E48"/>
      <x:c r="F48"/>
    </x:row>
    <x:row r="49">
      <x:c r="A49" t="s">
        <x:v>121</x:v>
      </x:c>
      <x:c r="B49"/>
      <x:c r="C49"/>
      <x:c r="D49"/>
      <x:c r="E49"/>
      <x:c r="F49"/>
    </x:row>
    <x:row r="50">
      <x:c r="A50" t="s">
        <x:v>122</x:v>
      </x:c>
      <x:c r="B50"/>
      <x:c r="C50"/>
      <x:c r="D50"/>
      <x:c r="E50"/>
      <x:c r="F50"/>
    </x:row>
    <x:row r="51">
      <x:c r="A51" t="s">
        <x:v>3</x:v>
      </x:c>
      <x:c r="B51" t="s">
        <x:v>88</x:v>
      </x:c>
      <x:c r="C51" t="s">
        <x:v>89</x:v>
      </x:c>
      <x:c r="D51" t="s">
        <x:v>90</x:v>
      </x:c>
      <x:c r="E51"/>
      <x:c r="F51"/>
    </x:row>
    <x:row r="52">
      <x:c r="A52" t="str">
        <x:v>销售员002</x:v>
      </x:c>
      <x:c r="B52" t="s">
        <x:v>92</x:v>
      </x:c>
      <x:c r="C52">
        <x:v>46</x:v>
      </x:c>
      <x:c r="D52">
        <x:v>0.279</x:v>
      </x:c>
      <x:c r="E52"/>
      <x:c r="F52"/>
    </x:row>
    <x:row r="53">
      <x:c r="A53" t="str">
        <x:v>销售员002</x:v>
      </x:c>
      <x:c r="B53" t="s">
        <x:v>93</x:v>
      </x:c>
      <x:c r="C53">
        <x:v>2407.5</x:v>
      </x:c>
      <x:c r="D53">
        <x:v>15.437</x:v>
      </x:c>
      <x:c r="E53"/>
      <x:c r="F53"/>
    </x:row>
    <x:row r="54">
      <x:c r="A54" t="str">
        <x:v>销售员002</x:v>
      </x:c>
      <x:c r="B54" t="s">
        <x:v>95</x:v>
      </x:c>
      <x:c r="C54">
        <x:v>26419.2</x:v>
      </x:c>
      <x:c r="D54">
        <x:v>160.418</x:v>
      </x:c>
      <x:c r="E54"/>
      <x:c r="F54"/>
    </x:row>
    <x:row r="55">
      <x:c r="A55" t="str">
        <x:v>销售员002</x:v>
      </x:c>
      <x:c r="B55" t="s">
        <x:v>99</x:v>
      </x:c>
      <x:c r="C55">
        <x:v>30</x:v>
      </x:c>
      <x:c r="D55">
        <x:v>0.219</x:v>
      </x:c>
      <x:c r="E55"/>
      <x:c r="F55"/>
    </x:row>
    <x:row r="56">
      <x:c r="A56" t="str">
        <x:v>销售员002</x:v>
      </x:c>
      <x:c r="B56" t="s">
        <x:v>100</x:v>
      </x:c>
      <x:c r="C56">
        <x:v>897</x:v>
      </x:c>
      <x:c r="D56">
        <x:v>5.752</x:v>
      </x:c>
      <x:c r="E56"/>
      <x:c r="F56"/>
    </x:row>
    <x:row r="57">
      <x:c r="A57" t="str">
        <x:v>销售员002</x:v>
      </x:c>
      <x:c r="B57" t="s">
        <x:v>107</x:v>
      </x:c>
      <x:c r="C57">
        <x:v>10</x:v>
      </x:c>
      <x:c r="D57">
        <x:v>0.078</x:v>
      </x:c>
      <x:c r="E57"/>
      <x:c r="F57"/>
    </x:row>
    <x:row r="58">
      <x:c r="A58" t="str">
        <x:v>销售员002</x:v>
      </x:c>
      <x:c r="B58" t="s">
        <x:v>108</x:v>
      </x:c>
      <x:c r="C58">
        <x:v>28.2</x:v>
      </x:c>
      <x:c r="D58">
        <x:v>0.171</x:v>
      </x:c>
      <x:c r="E58"/>
      <x:c r="F58"/>
    </x:row>
    <x:row r="59">
      <x:c r="A59" t="str">
        <x:v>销售员002</x:v>
      </x:c>
      <x:c r="B59" t="s">
        <x:v>109</x:v>
      </x:c>
      <x:c r="C59">
        <x:v>53</x:v>
      </x:c>
      <x:c r="D59">
        <x:v>0.312</x:v>
      </x:c>
      <x:c r="E59"/>
      <x:c r="F59"/>
    </x:row>
    <x:row r="60">
      <x:c r="A60" t="str">
        <x:v>销售员002</x:v>
      </x:c>
      <x:c r="B60" t="s">
        <x:v>112</x:v>
      </x:c>
      <x:c r="C60">
        <x:v>3652</x:v>
      </x:c>
      <x:c r="D60">
        <x:v>26.61</x:v>
      </x:c>
      <x:c r="E60"/>
      <x:c r="F60"/>
    </x:row>
    <x:row r="61">
      <x:c r="A61" t="str">
        <x:v>销售员002</x:v>
      </x:c>
      <x:c r="B61" t="s">
        <x:v>114</x:v>
      </x:c>
      <x:c r="C61">
        <x:v>224</x:v>
      </x:c>
      <x:c r="D61">
        <x:v>1.632</x:v>
      </x:c>
      <x:c r="E61"/>
      <x:c r="F61"/>
    </x:row>
    <x:row r="62">
      <x:c r="A62" t="str">
        <x:v>销售员002</x:v>
      </x:c>
      <x:c r="B62" t="s">
        <x:v>115</x:v>
      </x:c>
      <x:c r="C62">
        <x:v>906</x:v>
      </x:c>
      <x:c r="D62">
        <x:v>6.602</x:v>
      </x:c>
      <x:c r="E62"/>
      <x:c r="F62"/>
    </x:row>
    <x:row r="63">
      <x:c r="A63" t="str">
        <x:v>销售员002</x:v>
      </x:c>
      <x:c r="B63" t="s">
        <x:v>116</x:v>
      </x:c>
      <x:c r="C63">
        <x:v>9</x:v>
      </x:c>
      <x:c r="D63">
        <x:v>0.066</x:v>
      </x:c>
      <x:c r="E63"/>
      <x:c r="F63"/>
    </x:row>
    <x:row r="64">
      <x:c r="A64" t="str">
        <x:v>销售员002</x:v>
      </x:c>
      <x:c r="B64" t="s">
        <x:v>118</x:v>
      </x:c>
      <x:c r="C64">
        <x:v>8569.9</x:v>
      </x:c>
      <x:c r="D64">
        <x:v>52.037</x:v>
      </x:c>
      <x:c r="E64"/>
      <x:c r="F64"/>
    </x:row>
    <x:row r="65">
      <x:c r="A65" t="str">
        <x:v>销售员002</x:v>
      </x:c>
      <x:c r="B65" t="s">
        <x:v>125</x:v>
      </x:c>
      <x:c r="C65">
        <x:v>31</x:v>
      </x:c>
      <x:c r="D65">
        <x:v>0.248</x:v>
      </x:c>
      <x:c r="E65"/>
      <x:c r="F65"/>
    </x:row>
    <x:row r="66">
      <x:c r="A66" t="str">
        <x:v>销售员002</x:v>
      </x:c>
      <x:c r="B66" t="s">
        <x:v>119</x:v>
      </x:c>
      <x:c r="C66">
        <x:v>93.1</x:v>
      </x:c>
      <x:c r="D66">
        <x:v>0.565</x:v>
      </x:c>
      <x:c r="E66"/>
      <x:c r="F66"/>
    </x:row>
    <x:row r="67">
      <x:c r="A67" t="str">
        <x:v>销售员002</x:v>
      </x:c>
      <x:c r="B67" t="s">
        <x:v>126</x:v>
      </x:c>
      <x:c r="C67">
        <x:v>225</x:v>
      </x:c>
      <x:c r="D67">
        <x:v>1.339</x:v>
      </x:c>
      <x:c r="E67"/>
      <x:c r="F67"/>
    </x:row>
    <x:row r="68">
      <x:c r="A68" t="str">
        <x:v>销售员002</x:v>
      </x:c>
      <x:c r="B68" t="s">
        <x:v>128</x:v>
      </x:c>
      <x:c r="C68">
        <x:v>307.2</x:v>
      </x:c>
      <x:c r="D68">
        <x:v>1.865</x:v>
      </x:c>
      <x:c r="E68"/>
      <x:c r="F68"/>
    </x:row>
    <x:row r="69">
      <x:c r="A69" t="str">
        <x:v>销售员002</x:v>
      </x:c>
      <x:c r="B69" t="s">
        <x:v>129</x:v>
      </x:c>
      <x:c r="C69">
        <x:v>20</x:v>
      </x:c>
      <x:c r="D69">
        <x:v>0.121</x:v>
      </x:c>
      <x:c r="E69"/>
      <x:c r="F69"/>
    </x:row>
    <x:row r="70">
      <x:c r="A70" t="str">
        <x:v>销售员002</x:v>
      </x:c>
      <x:c r="B70" t="s">
        <x:v>131</x:v>
      </x:c>
      <x:c r="C70">
        <x:v>105</x:v>
      </x:c>
      <x:c r="D70">
        <x:v>0.638</x:v>
      </x:c>
      <x:c r="E70"/>
      <x:c r="F70"/>
    </x:row>
    <x:row r="71">
      <x:c r="A71" t="str">
        <x:v>销售员002</x:v>
      </x:c>
      <x:c r="B71" t="s">
        <x:v>133</x:v>
      </x:c>
      <x:c r="C71">
        <x:v>44033.1</x:v>
      </x:c>
      <x:c r="D71">
        <x:v>274.389</x:v>
      </x:c>
      <x:c r="E71"/>
      <x:c r="F71"/>
    </x:row>
    <x:row r="72">
      <x:c r="A72" t="str">
        <x:v>销售员001</x:v>
      </x:c>
      <x:c r="B72" t="s">
        <x:v>93</x:v>
      </x:c>
      <x:c r="C72">
        <x:v>2155.5</x:v>
      </x:c>
      <x:c r="D72">
        <x:v>13.821</x:v>
      </x:c>
      <x:c r="E72"/>
      <x:c r="F72"/>
    </x:row>
    <x:row r="73">
      <x:c r="A73" t="str">
        <x:v>销售员001</x:v>
      </x:c>
      <x:c r="B73" t="s">
        <x:v>95</x:v>
      </x:c>
      <x:c r="C73">
        <x:v>12051.7</x:v>
      </x:c>
      <x:c r="D73">
        <x:v>73.178</x:v>
      </x:c>
      <x:c r="E73"/>
      <x:c r="F73"/>
    </x:row>
    <x:row r="74">
      <x:c r="A74" t="str">
        <x:v>销售员001</x:v>
      </x:c>
      <x:c r="B74" t="s">
        <x:v>99</x:v>
      </x:c>
      <x:c r="C74">
        <x:v>450</x:v>
      </x:c>
      <x:c r="D74">
        <x:v>3.279</x:v>
      </x:c>
      <x:c r="E74"/>
      <x:c r="F74"/>
    </x:row>
    <x:row r="75">
      <x:c r="A75" t="str">
        <x:v>销售员001</x:v>
      </x:c>
      <x:c r="B75" t="s">
        <x:v>100</x:v>
      </x:c>
      <x:c r="C75">
        <x:v>554</x:v>
      </x:c>
      <x:c r="D75">
        <x:v>3.552</x:v>
      </x:c>
      <x:c r="E75"/>
      <x:c r="F75"/>
    </x:row>
    <x:row r="76">
      <x:c r="A76" t="str">
        <x:v>销售员001</x:v>
      </x:c>
      <x:c r="B76" t="s">
        <x:v>427</x:v>
      </x:c>
      <x:c r="C76">
        <x:v>20</x:v>
      </x:c>
      <x:c r="D76">
        <x:v>0.08</x:v>
      </x:c>
      <x:c r="E76"/>
      <x:c r="F76"/>
    </x:row>
    <x:row r="77">
      <x:c r="A77" t="str">
        <x:v>销售员001</x:v>
      </x:c>
      <x:c r="B77" t="s">
        <x:v>107</x:v>
      </x:c>
      <x:c r="C77">
        <x:v>10</x:v>
      </x:c>
      <x:c r="D77">
        <x:v>0.078</x:v>
      </x:c>
      <x:c r="E77"/>
      <x:c r="F77"/>
    </x:row>
    <x:row r="78">
      <x:c r="A78" t="str">
        <x:v>销售员001</x:v>
      </x:c>
      <x:c r="B78" t="s">
        <x:v>108</x:v>
      </x:c>
      <x:c r="C78">
        <x:v>45.9</x:v>
      </x:c>
      <x:c r="D78">
        <x:v>0.279</x:v>
      </x:c>
      <x:c r="E78"/>
      <x:c r="F78"/>
    </x:row>
    <x:row r="79">
      <x:c r="A79" t="str">
        <x:v>销售员001</x:v>
      </x:c>
      <x:c r="B79" t="s">
        <x:v>109</x:v>
      </x:c>
      <x:c r="C79">
        <x:v>98</x:v>
      </x:c>
      <x:c r="D79">
        <x:v>0.577</x:v>
      </x:c>
      <x:c r="E79"/>
      <x:c r="F79"/>
    </x:row>
    <x:row r="80">
      <x:c r="A80" t="str">
        <x:v>销售员001</x:v>
      </x:c>
      <x:c r="B80" t="s">
        <x:v>112</x:v>
      </x:c>
      <x:c r="C80">
        <x:v>3518</x:v>
      </x:c>
      <x:c r="D80">
        <x:v>25.634</x:v>
      </x:c>
      <x:c r="E80"/>
      <x:c r="F80"/>
    </x:row>
    <x:row r="81">
      <x:c r="A81" t="str">
        <x:v>销售员001</x:v>
      </x:c>
      <x:c r="B81" t="s">
        <x:v>114</x:v>
      </x:c>
      <x:c r="C81">
        <x:v>1594</x:v>
      </x:c>
      <x:c r="D81">
        <x:v>11.615</x:v>
      </x:c>
      <x:c r="E81"/>
      <x:c r="F81"/>
    </x:row>
    <x:row r="82">
      <x:c r="A82" t="str">
        <x:v>销售员001</x:v>
      </x:c>
      <x:c r="B82" t="s">
        <x:v>115</x:v>
      </x:c>
      <x:c r="C82">
        <x:v>1109</x:v>
      </x:c>
      <x:c r="D82">
        <x:v>8.081</x:v>
      </x:c>
      <x:c r="E82"/>
      <x:c r="F82"/>
    </x:row>
    <x:row r="83">
      <x:c r="A83" t="str">
        <x:v>销售员001</x:v>
      </x:c>
      <x:c r="B83" t="s">
        <x:v>116</x:v>
      </x:c>
      <x:c r="C83">
        <x:v>764</x:v>
      </x:c>
      <x:c r="D83">
        <x:v>5.567</x:v>
      </x:c>
      <x:c r="E83"/>
      <x:c r="F83"/>
    </x:row>
    <x:row r="84">
      <x:c r="A84" t="str">
        <x:v>销售员001</x:v>
      </x:c>
      <x:c r="B84" t="s">
        <x:v>118</x:v>
      </x:c>
      <x:c r="C84">
        <x:v>11095.3</x:v>
      </x:c>
      <x:c r="D84">
        <x:v>67.371</x:v>
      </x:c>
      <x:c r="E84"/>
      <x:c r="F84"/>
    </x:row>
    <x:row r="85">
      <x:c r="A85" t="str">
        <x:v>销售员001</x:v>
      </x:c>
      <x:c r="B85" t="s">
        <x:v>125</x:v>
      </x:c>
      <x:c r="C85">
        <x:v>8</x:v>
      </x:c>
      <x:c r="D85">
        <x:v>0.064</x:v>
      </x:c>
      <x:c r="E85"/>
      <x:c r="F85"/>
    </x:row>
    <x:row r="86">
      <x:c r="A86" t="str">
        <x:v>销售员001</x:v>
      </x:c>
      <x:c r="B86" t="s">
        <x:v>428</x:v>
      </x:c>
      <x:c r="C86">
        <x:v>54</x:v>
      </x:c>
      <x:c r="D86">
        <x:v>0.354</x:v>
      </x:c>
      <x:c r="E86"/>
      <x:c r="F86"/>
    </x:row>
    <x:row r="87">
      <x:c r="A87" t="str">
        <x:v>销售员001</x:v>
      </x:c>
      <x:c r="B87" t="s">
        <x:v>119</x:v>
      </x:c>
      <x:c r="C87">
        <x:v>14.6</x:v>
      </x:c>
      <x:c r="D87">
        <x:v>0.089</x:v>
      </x:c>
      <x:c r="E87"/>
      <x:c r="F87"/>
    </x:row>
    <x:row r="88">
      <x:c r="A88" t="str">
        <x:v>销售员001</x:v>
      </x:c>
      <x:c r="B88" t="s">
        <x:v>126</x:v>
      </x:c>
      <x:c r="C88">
        <x:v>170</x:v>
      </x:c>
      <x:c r="D88">
        <x:v>1.012</x:v>
      </x:c>
      <x:c r="E88"/>
      <x:c r="F88"/>
    </x:row>
    <x:row r="89">
      <x:c r="A89" t="str">
        <x:v>销售员001</x:v>
      </x:c>
      <x:c r="B89" t="s">
        <x:v>127</x:v>
      </x:c>
      <x:c r="C89">
        <x:v>4</x:v>
      </x:c>
      <x:c r="D89">
        <x:v>0.024</x:v>
      </x:c>
      <x:c r="E89"/>
      <x:c r="F89"/>
    </x:row>
    <x:row r="90">
      <x:c r="A90" t="str">
        <x:v>销售员001</x:v>
      </x:c>
      <x:c r="B90" t="s">
        <x:v>128</x:v>
      </x:c>
      <x:c r="C90">
        <x:v>84</x:v>
      </x:c>
      <x:c r="D90">
        <x:v>0.51</x:v>
      </x:c>
      <x:c r="E90"/>
      <x:c r="F90"/>
    </x:row>
    <x:row r="91">
      <x:c r="A91" t="str">
        <x:v>销售员001</x:v>
      </x:c>
      <x:c r="B91" t="s">
        <x:v>129</x:v>
      </x:c>
      <x:c r="C91">
        <x:v>67</x:v>
      </x:c>
      <x:c r="D91">
        <x:v>0.407</x:v>
      </x:c>
      <x:c r="E91"/>
      <x:c r="F91"/>
    </x:row>
    <x:row r="92">
      <x:c r="A92" t="str">
        <x:v>销售员001</x:v>
      </x:c>
      <x:c r="B92" t="s">
        <x:v>131</x:v>
      </x:c>
      <x:c r="C92">
        <x:v>92</x:v>
      </x:c>
      <x:c r="D92">
        <x:v>0.559</x:v>
      </x:c>
      <x:c r="E92"/>
      <x:c r="F92"/>
    </x:row>
    <x:row r="93">
      <x:c r="A93" t="str">
        <x:v>销售员001</x:v>
      </x:c>
      <x:c r="B93" t="s">
        <x:v>133</x:v>
      </x:c>
      <x:c r="C93">
        <x:v>34051</x:v>
      </x:c>
      <x:c r="D93">
        <x:v>216.69</x:v>
      </x:c>
      <x:c r="E93"/>
      <x:c r="F93"/>
    </x:row>
    <x:row r="94">
      <x:c r="A94" t="s">
        <x:v>121</x:v>
      </x:c>
      <x:c r="B94"/>
      <x:c r="C94"/>
      <x:c r="D94"/>
      <x:c r="E94"/>
      <x:c r="F94"/>
    </x:row>
    <x:row r="95">
      <x:c r="A95" t="s">
        <x:v>122</x:v>
      </x:c>
      <x:c r="B95"/>
      <x:c r="C95"/>
      <x:c r="D95"/>
      <x:c r="E95"/>
      <x:c r="F95"/>
    </x:row>
    <x:row r="96">
      <x:c r="A96" t="s">
        <x:v>3</x:v>
      </x:c>
      <x:c r="B96" t="s">
        <x:v>88</x:v>
      </x:c>
      <x:c r="C96" t="s">
        <x:v>89</x:v>
      </x:c>
      <x:c r="D96" t="s">
        <x:v>90</x:v>
      </x:c>
      <x:c r="E96"/>
      <x:c r="F96"/>
    </x:row>
    <x:row r="97">
      <x:c r="A97" t="str">
        <x:v>销售员006</x:v>
      </x:c>
      <x:c r="B97" t="s">
        <x:v>93</x:v>
      </x:c>
      <x:c r="C97">
        <x:v>9902.5</x:v>
      </x:c>
      <x:c r="D97">
        <x:v>63.495</x:v>
      </x:c>
      <x:c r="E97"/>
      <x:c r="F97"/>
    </x:row>
    <x:row r="98">
      <x:c r="A98" t="str">
        <x:v>销售员006</x:v>
      </x:c>
      <x:c r="B98" t="s">
        <x:v>95</x:v>
      </x:c>
      <x:c r="C98">
        <x:v>278</x:v>
      </x:c>
      <x:c r="D98">
        <x:v>1.688</x:v>
      </x:c>
      <x:c r="E98"/>
      <x:c r="F98"/>
    </x:row>
    <x:row r="99">
      <x:c r="A99" t="str">
        <x:v>销售员006</x:v>
      </x:c>
      <x:c r="B99" t="s">
        <x:v>107</x:v>
      </x:c>
      <x:c r="C99">
        <x:v>9</x:v>
      </x:c>
      <x:c r="D99">
        <x:v>0.07</x:v>
      </x:c>
      <x:c r="E99"/>
      <x:c r="F99"/>
    </x:row>
    <x:row r="100">
      <x:c r="A100" t="str">
        <x:v>销售员006</x:v>
      </x:c>
      <x:c r="B100" t="s">
        <x:v>124</x:v>
      </x:c>
      <x:c r="C100">
        <x:v>125</x:v>
      </x:c>
      <x:c r="D100">
        <x:v>0.759</x:v>
      </x:c>
      <x:c r="E100"/>
      <x:c r="F100"/>
    </x:row>
    <x:row r="101">
      <x:c r="A101" t="str">
        <x:v>销售员006</x:v>
      </x:c>
      <x:c r="B101" t="s">
        <x:v>109</x:v>
      </x:c>
      <x:c r="C101">
        <x:v>1287</x:v>
      </x:c>
      <x:c r="D101">
        <x:v>7.58</x:v>
      </x:c>
      <x:c r="E101"/>
      <x:c r="F101"/>
    </x:row>
    <x:row r="102">
      <x:c r="A102" t="str">
        <x:v>销售员006</x:v>
      </x:c>
      <x:c r="B102" t="s">
        <x:v>110</x:v>
      </x:c>
      <x:c r="C102">
        <x:v>336</x:v>
      </x:c>
      <x:c r="D102">
        <x:v>2.154</x:v>
      </x:c>
      <x:c r="E102"/>
      <x:c r="F102"/>
    </x:row>
    <x:row r="103">
      <x:c r="A103" t="str">
        <x:v>销售员006</x:v>
      </x:c>
      <x:c r="B103" t="s">
        <x:v>111</x:v>
      </x:c>
      <x:c r="C103">
        <x:v>665</x:v>
      </x:c>
      <x:c r="D103">
        <x:v>4.038</x:v>
      </x:c>
      <x:c r="E103"/>
      <x:c r="F103"/>
    </x:row>
    <x:row r="104">
      <x:c r="A104" t="str">
        <x:v>销售员006</x:v>
      </x:c>
      <x:c r="B104" t="s">
        <x:v>112</x:v>
      </x:c>
      <x:c r="C104">
        <x:v>542</x:v>
      </x:c>
      <x:c r="D104">
        <x:v>3.949</x:v>
      </x:c>
      <x:c r="E104"/>
      <x:c r="F104"/>
    </x:row>
    <x:row r="105">
      <x:c r="A105" t="str">
        <x:v>销售员006</x:v>
      </x:c>
      <x:c r="B105" t="s">
        <x:v>114</x:v>
      </x:c>
      <x:c r="C105">
        <x:v>75</x:v>
      </x:c>
      <x:c r="D105">
        <x:v>0.546</x:v>
      </x:c>
      <x:c r="E105"/>
      <x:c r="F105"/>
    </x:row>
    <x:row r="106">
      <x:c r="A106" t="str">
        <x:v>销售员006</x:v>
      </x:c>
      <x:c r="B106" t="s">
        <x:v>118</x:v>
      </x:c>
      <x:c r="C106">
        <x:v>205</x:v>
      </x:c>
      <x:c r="D106">
        <x:v>1.245</x:v>
      </x:c>
      <x:c r="E106"/>
      <x:c r="F106"/>
    </x:row>
    <x:row r="107">
      <x:c r="A107" t="str">
        <x:v>销售员006</x:v>
      </x:c>
      <x:c r="B107" t="s">
        <x:v>120</x:v>
      </x:c>
      <x:c r="C107">
        <x:v>52</x:v>
      </x:c>
      <x:c r="D107">
        <x:v>0.309</x:v>
      </x:c>
      <x:c r="E107"/>
      <x:c r="F107"/>
    </x:row>
    <x:row r="108">
      <x:c r="A108" t="str">
        <x:v>销售员006</x:v>
      </x:c>
      <x:c r="B108" t="s">
        <x:v>126</x:v>
      </x:c>
      <x:c r="C108">
        <x:v>6</x:v>
      </x:c>
      <x:c r="D108">
        <x:v>0.036</x:v>
      </x:c>
      <x:c r="E108"/>
      <x:c r="F108"/>
    </x:row>
    <x:row r="109">
      <x:c r="A109" t="str">
        <x:v>销售员006</x:v>
      </x:c>
      <x:c r="B109" t="s">
        <x:v>127</x:v>
      </x:c>
      <x:c r="C109">
        <x:v>111</x:v>
      </x:c>
      <x:c r="D109">
        <x:v>0.661</x:v>
      </x:c>
      <x:c r="E109"/>
      <x:c r="F109"/>
    </x:row>
    <x:row r="110">
      <x:c r="A110" t="str">
        <x:v>销售员006</x:v>
      </x:c>
      <x:c r="B110" t="s">
        <x:v>129</x:v>
      </x:c>
      <x:c r="C110">
        <x:v>452.7</x:v>
      </x:c>
      <x:c r="D110">
        <x:v>2.749</x:v>
      </x:c>
      <x:c r="E110"/>
      <x:c r="F110"/>
    </x:row>
    <x:row r="111">
      <x:c r="A111" t="str">
        <x:v>销售员006</x:v>
      </x:c>
      <x:c r="B111" t="s">
        <x:v>133</x:v>
      </x:c>
      <x:c r="C111">
        <x:v>14046.2</x:v>
      </x:c>
      <x:c r="D111">
        <x:v>89.279</x:v>
      </x:c>
      <x:c r="E111"/>
      <x:c r="F111"/>
    </x:row>
    <x:row r="112">
      <x:c r="A112" t="s">
        <x:v>121</x:v>
      </x:c>
      <x:c r="B112"/>
      <x:c r="C112"/>
      <x:c r="D112"/>
      <x:c r="E112"/>
      <x:c r="F112"/>
    </x:row>
    <x:row r="113">
      <x:c r="A113" t="s">
        <x:v>122</x:v>
      </x:c>
      <x:c r="B113"/>
      <x:c r="C113"/>
      <x:c r="D113"/>
      <x:c r="E113"/>
      <x:c r="F113"/>
    </x:row>
    <x:row r="114">
      <x:c r="A114" t="s">
        <x:v>3</x:v>
      </x:c>
      <x:c r="B114" t="s">
        <x:v>88</x:v>
      </x:c>
      <x:c r="C114" t="s">
        <x:v>89</x:v>
      </x:c>
      <x:c r="D114" t="s">
        <x:v>90</x:v>
      </x:c>
      <x:c r="E114"/>
      <x:c r="F114"/>
    </x:row>
    <x:row r="115">
      <x:c r="A115" t="str">
        <x:v>销售员005</x:v>
      </x:c>
      <x:c r="B115" t="s">
        <x:v>92</x:v>
      </x:c>
      <x:c r="C115">
        <x:v>102</x:v>
      </x:c>
      <x:c r="D115">
        <x:v>0.619</x:v>
      </x:c>
      <x:c r="E115"/>
      <x:c r="F115"/>
    </x:row>
    <x:row r="116">
      <x:c r="A116" t="str">
        <x:v>销售员005</x:v>
      </x:c>
      <x:c r="B116" t="s">
        <x:v>93</x:v>
      </x:c>
      <x:c r="C116">
        <x:v>12460</x:v>
      </x:c>
      <x:c r="D116">
        <x:v>79.894</x:v>
      </x:c>
      <x:c r="E116"/>
      <x:c r="F116"/>
    </x:row>
    <x:row r="117">
      <x:c r="A117" t="str">
        <x:v>销售员005</x:v>
      </x:c>
      <x:c r="B117" t="s">
        <x:v>95</x:v>
      </x:c>
      <x:c r="C117">
        <x:v>794.8</x:v>
      </x:c>
      <x:c r="D117">
        <x:v>4.826</x:v>
      </x:c>
      <x:c r="E117"/>
      <x:c r="F117"/>
    </x:row>
    <x:row r="118">
      <x:c r="A118" t="str">
        <x:v>销售员005</x:v>
      </x:c>
      <x:c r="B118" t="s">
        <x:v>97</x:v>
      </x:c>
      <x:c r="C118">
        <x:v>5.5</x:v>
      </x:c>
      <x:c r="D118">
        <x:v>0.033</x:v>
      </x:c>
      <x:c r="E118"/>
      <x:c r="F118"/>
    </x:row>
    <x:row r="119">
      <x:c r="A119" t="str">
        <x:v>销售员005</x:v>
      </x:c>
      <x:c r="B119" t="s">
        <x:v>99</x:v>
      </x:c>
      <x:c r="C119">
        <x:v>135</x:v>
      </x:c>
      <x:c r="D119">
        <x:v>0.984</x:v>
      </x:c>
      <x:c r="E119"/>
      <x:c r="F119"/>
    </x:row>
    <x:row r="120">
      <x:c r="A120" t="str">
        <x:v>销售员005</x:v>
      </x:c>
      <x:c r="B120" t="s">
        <x:v>106</x:v>
      </x:c>
      <x:c r="C120">
        <x:v>1.3</x:v>
      </x:c>
      <x:c r="D120">
        <x:v>0.009</x:v>
      </x:c>
      <x:c r="E120"/>
      <x:c r="F120"/>
    </x:row>
    <x:row r="121">
      <x:c r="A121" t="str">
        <x:v>销售员005</x:v>
      </x:c>
      <x:c r="B121" t="s">
        <x:v>107</x:v>
      </x:c>
      <x:c r="C121">
        <x:v>295</x:v>
      </x:c>
      <x:c r="D121">
        <x:v>2.293</x:v>
      </x:c>
      <x:c r="E121"/>
      <x:c r="F121"/>
    </x:row>
    <x:row r="122">
      <x:c r="A122" t="str">
        <x:v>销售员005</x:v>
      </x:c>
      <x:c r="B122" t="s">
        <x:v>109</x:v>
      </x:c>
      <x:c r="C122">
        <x:v>1521</x:v>
      </x:c>
      <x:c r="D122">
        <x:v>8.958</x:v>
      </x:c>
      <x:c r="E122"/>
      <x:c r="F122"/>
    </x:row>
    <x:row r="123">
      <x:c r="A123" t="str">
        <x:v>销售员005</x:v>
      </x:c>
      <x:c r="B123" t="s">
        <x:v>110</x:v>
      </x:c>
      <x:c r="C123">
        <x:v>854</x:v>
      </x:c>
      <x:c r="D123">
        <x:v>5.476</x:v>
      </x:c>
      <x:c r="E123"/>
      <x:c r="F123"/>
    </x:row>
    <x:row r="124">
      <x:c r="A124" t="str">
        <x:v>销售员005</x:v>
      </x:c>
      <x:c r="B124" t="s">
        <x:v>111</x:v>
      </x:c>
      <x:c r="C124">
        <x:v>342</x:v>
      </x:c>
      <x:c r="D124">
        <x:v>2.077</x:v>
      </x:c>
      <x:c r="E124"/>
      <x:c r="F124"/>
    </x:row>
    <x:row r="125">
      <x:c r="A125" t="str">
        <x:v>销售员005</x:v>
      </x:c>
      <x:c r="B125" t="s">
        <x:v>112</x:v>
      </x:c>
      <x:c r="C125">
        <x:v>18</x:v>
      </x:c>
      <x:c r="D125">
        <x:v>0.131</x:v>
      </x:c>
      <x:c r="E125"/>
      <x:c r="F125"/>
    </x:row>
    <x:row r="126">
      <x:c r="A126" t="str">
        <x:v>销售员005</x:v>
      </x:c>
      <x:c r="B126" t="s">
        <x:v>114</x:v>
      </x:c>
      <x:c r="C126">
        <x:v>42</x:v>
      </x:c>
      <x:c r="D126">
        <x:v>0.306</x:v>
      </x:c>
      <x:c r="E126"/>
      <x:c r="F126"/>
    </x:row>
    <x:row r="127">
      <x:c r="A127" t="str">
        <x:v>销售员005</x:v>
      </x:c>
      <x:c r="B127" t="s">
        <x:v>116</x:v>
      </x:c>
      <x:c r="C127">
        <x:v>20</x:v>
      </x:c>
      <x:c r="D127">
        <x:v>0.146</x:v>
      </x:c>
      <x:c r="E127"/>
      <x:c r="F127"/>
    </x:row>
    <x:row r="128">
      <x:c r="A128" t="str">
        <x:v>销售员005</x:v>
      </x:c>
      <x:c r="B128" t="s">
        <x:v>118</x:v>
      </x:c>
      <x:c r="C128">
        <x:v>26.3</x:v>
      </x:c>
      <x:c r="D128">
        <x:v>0.159</x:v>
      </x:c>
      <x:c r="E128"/>
      <x:c r="F128"/>
    </x:row>
    <x:row r="129">
      <x:c r="A129" t="str">
        <x:v>销售员005</x:v>
      </x:c>
      <x:c r="B129" t="s">
        <x:v>120</x:v>
      </x:c>
      <x:c r="C129">
        <x:v>71</x:v>
      </x:c>
      <x:c r="D129">
        <x:v>0.422</x:v>
      </x:c>
      <x:c r="E129"/>
      <x:c r="F129"/>
    </x:row>
    <x:row r="130">
      <x:c r="A130" t="str">
        <x:v>销售员005</x:v>
      </x:c>
      <x:c r="B130" t="s">
        <x:v>126</x:v>
      </x:c>
      <x:c r="C130">
        <x:v>10</x:v>
      </x:c>
      <x:c r="D130">
        <x:v>0.06</x:v>
      </x:c>
      <x:c r="E130"/>
      <x:c r="F130"/>
    </x:row>
    <x:row r="131">
      <x:c r="A131" t="str">
        <x:v>销售员005</x:v>
      </x:c>
      <x:c r="B131" t="s">
        <x:v>127</x:v>
      </x:c>
      <x:c r="C131">
        <x:v>214</x:v>
      </x:c>
      <x:c r="D131">
        <x:v>1.273</x:v>
      </x:c>
      <x:c r="E131"/>
      <x:c r="F131"/>
    </x:row>
    <x:row r="132">
      <x:c r="A132" t="str">
        <x:v>销售员005</x:v>
      </x:c>
      <x:c r="B132" t="s">
        <x:v>129</x:v>
      </x:c>
      <x:c r="C132">
        <x:v>610</x:v>
      </x:c>
      <x:c r="D132">
        <x:v>3.704</x:v>
      </x:c>
      <x:c r="E132"/>
      <x:c r="F132"/>
    </x:row>
    <x:row r="133">
      <x:c r="A133" t="str">
        <x:v>销售员005</x:v>
      </x:c>
      <x:c r="B133" t="s">
        <x:v>133</x:v>
      </x:c>
      <x:c r="C133">
        <x:v>17521.9</x:v>
      </x:c>
      <x:c r="D133">
        <x:v>111.37</x:v>
      </x:c>
      <x:c r="E133"/>
      <x:c r="F133"/>
    </x:row>
    <x:row r="134">
      <x:c r="A134"/>
      <x:c r="B134"/>
      <x:c r="C134"/>
      <x:c r="D134"/>
      <x:c r="E134"/>
      <x:c r="F134"/>
    </x:row>
    <x:row r="135">
      <x:c r="A135"/>
      <x:c r="B135"/>
      <x:c r="C135"/>
      <x:c r="D135"/>
      <x:c r="E135"/>
      <x:c r="F135"/>
    </x:row>
    <x:row r="136">
      <x:c r="A136"/>
      <x:c r="B136"/>
      <x:c r="C136"/>
      <x:c r="D136"/>
      <x:c r="E136"/>
      <x:c r="F136"/>
    </x:row>
    <x:row r="137">
      <x:c r="A137"/>
      <x:c r="B137"/>
      <x:c r="C137" t="n">
        <x:f>SUBTOTAL(9,C2:C136)</x:f>
        <x:v>367755.60000000003</x:v>
      </x:c>
      <x:c r="D137"/>
      <x:c r="E137"/>
      <x:c r="F137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8.880000114440918" hidden="0" customWidth="1"/>
    <x:col min="3" max="3" width="6.130000114440918" hidden="0" customWidth="1"/>
    <x:col min="4" max="4" width="10.630000114440918" hidden="0" customWidth="1"/>
    <x:col min="5" max="5" width="10.630000114440918" hidden="0" customWidth="1"/>
    <x:col min="6" max="6" width="6.130000114440918" hidden="0" customWidth="1"/>
    <x:col min="7" max="7" width="6.130000114440918" hidden="0" customWidth="1"/>
    <x:col min="8" max="8" width="4.25" hidden="0" customWidth="1"/>
    <x:col min="9" max="9" width="4.25" hidden="0" customWidth="1"/>
    <x:col min="10" max="10" width="4.25" hidden="0" customWidth="1"/>
    <x:col min="11" max="11" width="4.25" hidden="0" customWidth="1"/>
    <x:col min="12" max="12" width="4.25" hidden="0" customWidth="1"/>
    <x:col min="13" max="13" width="4.25" hidden="0" customWidth="1"/>
    <x:col min="14" max="14" width="6.130000114440918" hidden="0" customWidth="1"/>
    <x:col min="15" max="15" width="7.880000114440918" hidden="0" customWidth="1"/>
    <x:col min="16" max="16" width="7" hidden="0" customWidth="1"/>
    <x:col min="17" max="17" width="6" hidden="0" customWidth="1"/>
    <x:col min="18" max="18" width="4.25" hidden="0" customWidth="1"/>
  </x:cols>
  <x:sheetData>
    <x:row r="1">
      <x:c r="A1" t="s">
        <x:v>3</x:v>
      </x:c>
      <x:c r="B1" t="s">
        <x:v>429</x:v>
      </x:c>
      <x:c r="C1" t="s">
        <x:v>430</x:v>
      </x:c>
      <x:c r="D1" t="s">
        <x:v>431</x:v>
      </x:c>
      <x:c r="E1" t="s">
        <x:v>432</x:v>
      </x:c>
      <x:c r="F1" t="s">
        <x:v>433</x:v>
      </x:c>
      <x:c r="G1" t="s">
        <x:v>434</x:v>
      </x:c>
      <x:c r="H1" t="s">
        <x:v>435</x:v>
      </x:c>
      <x:c r="I1" t="s">
        <x:v>81</x:v>
      </x:c>
      <x:c r="J1" t="s">
        <x:v>86</x:v>
      </x:c>
      <x:c r="K1" t="s">
        <x:v>52</x:v>
      </x:c>
      <x:c r="L1" t="s">
        <x:v>436</x:v>
      </x:c>
      <x:c r="M1" t="s">
        <x:v>437</x:v>
      </x:c>
      <x:c r="N1" t="s">
        <x:v>438</x:v>
      </x:c>
      <x:c r="O1" t="s">
        <x:v>439</x:v>
      </x:c>
      <x:c r="P1" t="s">
        <x:v>440</x:v>
      </x:c>
      <x:c r="Q1" t="s">
        <x:v>441</x:v>
      </x:c>
      <x:c r="R1" t="s">
        <x:v>57</x:v>
      </x:c>
    </x:row>
    <x:row r="2">
      <x:c r="A2" t="str">
        <x:v>销售员003</x:v>
      </x:c>
      <x:c r="B2">
        <x:v>78</x:v>
      </x:c>
      <x:c r="C2">
        <x:v>29</x:v>
      </x:c>
      <x:c r="D2">
        <x:v>4</x:v>
      </x:c>
      <x:c r="E2">
        <x:v>78</x:v>
      </x:c>
      <x:c r="F2">
        <x:v>4</x:v>
      </x:c>
      <x:c r="G2">
        <x:v>40</x:v>
      </x:c>
      <x:c r="H2">
        <x:v>9</x:v>
      </x:c>
      <x:c r="I2">
        <x:v>15</x:v>
      </x:c>
      <x:c r="J2">
        <x:v>14</x:v>
      </x:c>
      <x:c r="K2"/>
      <x:c r="L2"/>
      <x:c r="M2"/>
      <x:c r="N2"/>
      <x:c r="O2"/>
      <x:c r="P2"/>
      <x:c r="Q2"/>
      <x:c r="R2" t="n">
        <x:f>SUM(B2:Q2)</x:f>
        <x:v>0</x:v>
      </x:c>
    </x:row>
    <x:row r="3">
      <x:c r="A3" t="str">
        <x:v>销售员004</x:v>
      </x:c>
      <x:c r="B3">
        <x:v>49</x:v>
      </x:c>
      <x:c r="C3">
        <x:v>20</x:v>
      </x:c>
      <x:c r="D3">
        <x:v>10</x:v>
      </x:c>
      <x:c r="E3">
        <x:v>63</x:v>
      </x:c>
      <x:c r="F3">
        <x:v>3</x:v>
      </x:c>
      <x:c r="G3">
        <x:v>39</x:v>
      </x:c>
      <x:c r="H3">
        <x:v>8</x:v>
      </x:c>
      <x:c r="I3">
        <x:v>12</x:v>
      </x:c>
      <x:c r="J3">
        <x:v>7</x:v>
      </x:c>
      <x:c r="K3">
        <x:v>2</x:v>
      </x:c>
      <x:c r="L3"/>
      <x:c r="M3"/>
      <x:c r="N3"/>
      <x:c r="O3"/>
      <x:c r="P3"/>
      <x:c r="Q3"/>
      <x:c r="R3" t="n">
        <x:f>SUM(B3:Q3)</x:f>
        <x:v>0</x:v>
      </x:c>
    </x:row>
    <x:row r="4">
      <x:c r="A4" t="str">
        <x:v>销售员002</x:v>
      </x:c>
      <x:c r="B4">
        <x:v>59</x:v>
      </x:c>
      <x:c r="C4">
        <x:v>20</x:v>
      </x:c>
      <x:c r="D4">
        <x:v>11</x:v>
      </x:c>
      <x:c r="E4">
        <x:v>73</x:v>
      </x:c>
      <x:c r="F4">
        <x:v>2</x:v>
      </x:c>
      <x:c r="G4">
        <x:v>36</x:v>
      </x:c>
      <x:c r="H4">
        <x:v>9</x:v>
      </x:c>
      <x:c r="I4">
        <x:v>12</x:v>
      </x:c>
      <x:c r="J4">
        <x:v>2</x:v>
      </x:c>
      <x:c r="K4"/>
      <x:c r="L4">
        <x:v>1</x:v>
      </x:c>
      <x:c r="M4"/>
      <x:c r="N4"/>
      <x:c r="O4"/>
      <x:c r="P4"/>
      <x:c r="Q4"/>
      <x:c r="R4" t="n">
        <x:f>SUM(B4:Q4)</x:f>
        <x:v>0</x:v>
      </x:c>
    </x:row>
    <x:row r="5">
      <x:c r="A5" t="str">
        <x:v>销售员001</x:v>
      </x:c>
      <x:c r="B5">
        <x:v>43</x:v>
      </x:c>
      <x:c r="C5">
        <x:v>13</x:v>
      </x:c>
      <x:c r="D5">
        <x:v>3</x:v>
      </x:c>
      <x:c r="E5">
        <x:v>72</x:v>
      </x:c>
      <x:c r="F5">
        <x:v>2</x:v>
      </x:c>
      <x:c r="G5">
        <x:v>34</x:v>
      </x:c>
      <x:c r="H5">
        <x:v>6</x:v>
      </x:c>
      <x:c r="I5">
        <x:v>13</x:v>
      </x:c>
      <x:c r="J5">
        <x:v>6</x:v>
      </x:c>
      <x:c r="K5"/>
      <x:c r="L5"/>
      <x:c r="M5">
        <x:v>1</x:v>
      </x:c>
      <x:c r="N5">
        <x:v>1</x:v>
      </x:c>
      <x:c r="O5"/>
      <x:c r="P5"/>
      <x:c r="Q5"/>
      <x:c r="R5" t="n">
        <x:f>SUM(B5:Q5)</x:f>
        <x:v>0</x:v>
      </x:c>
    </x:row>
    <x:row r="6">
      <x:c r="A6" t="str">
        <x:v>销售员006</x:v>
      </x:c>
      <x:c r="B6"/>
      <x:c r="C6"/>
      <x:c r="D6"/>
      <x:c r="E6">
        <x:v>6</x:v>
      </x:c>
      <x:c r="F6"/>
      <x:c r="G6"/>
      <x:c r="H6">
        <x:v>51</x:v>
      </x:c>
      <x:c r="I6">
        <x:v>47</x:v>
      </x:c>
      <x:c r="J6">
        <x:v>7</x:v>
      </x:c>
      <x:c r="K6"/>
      <x:c r="L6"/>
      <x:c r="M6">
        <x:v>4</x:v>
      </x:c>
      <x:c r="N6">
        <x:v>1</x:v>
      </x:c>
      <x:c r="O6">
        <x:v>1</x:v>
      </x:c>
      <x:c r="P6">
        <x:v>1</x:v>
      </x:c>
      <x:c r="Q6"/>
      <x:c r="R6" t="n">
        <x:f>SUM(B6:Q6)</x:f>
        <x:v>0</x:v>
      </x:c>
    </x:row>
    <x:row r="7">
      <x:c r="A7" t="str">
        <x:v>销售员005</x:v>
      </x:c>
      <x:c r="B7"/>
      <x:c r="C7"/>
      <x:c r="D7"/>
      <x:c r="E7">
        <x:v>6</x:v>
      </x:c>
      <x:c r="F7"/>
      <x:c r="G7"/>
      <x:c r="H7">
        <x:v>81</x:v>
      </x:c>
      <x:c r="I7">
        <x:v>55</x:v>
      </x:c>
      <x:c r="J7">
        <x:v>20</x:v>
      </x:c>
      <x:c r="K7">
        <x:v>1</x:v>
      </x:c>
      <x:c r="L7"/>
      <x:c r="M7">
        <x:v>8</x:v>
      </x:c>
      <x:c r="N7">
        <x:v>4</x:v>
      </x:c>
      <x:c r="O7">
        <x:v>4</x:v>
      </x:c>
      <x:c r="P7">
        <x:v>2</x:v>
      </x:c>
      <x:c r="Q7">
        <x:v>1</x:v>
      </x:c>
      <x:c r="R7" t="n">
        <x:f>SUM(B7:Q7)</x:f>
        <x:v>0</x:v>
      </x:c>
    </x:row>
    <x:row r="8">
      <x:c r="A8" t="str">
        <x:v>销售员007</x:v>
      </x:c>
      <x:c r="B8" t="n">
        <x:f>SUM(B2:B7)</x:f>
        <x:v>0</x:v>
      </x:c>
      <x:c r="C8" t="n">
        <x:f>SUM(C2:C7)</x:f>
        <x:v>0</x:v>
      </x:c>
      <x:c r="D8" t="n">
        <x:f>SUM(D2:D7)</x:f>
        <x:v>0</x:v>
      </x:c>
      <x:c r="E8" t="n">
        <x:f>SUM(E2:E7)</x:f>
        <x:v>0</x:v>
      </x:c>
      <x:c r="F8" t="n">
        <x:f>SUM(F2:F7)</x:f>
        <x:v>0</x:v>
      </x:c>
      <x:c r="G8" t="n">
        <x:f>SUM(G2:G7)</x:f>
        <x:v>0</x:v>
      </x:c>
      <x:c r="H8" t="n">
        <x:f>SUM(H2:H7)</x:f>
        <x:v>0</x:v>
      </x:c>
      <x:c r="I8" t="n">
        <x:f>SUM(I2:I7)</x:f>
        <x:v>0</x:v>
      </x:c>
      <x:c r="J8" t="n">
        <x:f>SUM(J2:J7)</x:f>
        <x:v>0</x:v>
      </x:c>
      <x:c r="K8" t="n">
        <x:f>SUM(K2:K7)</x:f>
        <x:v>0</x:v>
      </x:c>
      <x:c r="L8" t="n">
        <x:f>SUM(L2:L7)</x:f>
        <x:v>0</x:v>
      </x:c>
      <x:c r="M8" t="n">
        <x:f>SUM(M2:M7)</x:f>
        <x:v>0</x:v>
      </x:c>
      <x:c r="N8" t="n">
        <x:f>SUM(N2:N7)</x:f>
        <x:v>0</x:v>
      </x:c>
      <x:c r="O8" t="n">
        <x:f>SUM(O2:O7)</x:f>
        <x:v>0</x:v>
      </x:c>
      <x:c r="P8" t="n">
        <x:f>SUM(P2:P7)</x:f>
        <x:v>0</x:v>
      </x:c>
      <x:c r="Q8" t="n">
        <x:f>SUM(Q2:Q7)</x:f>
        <x:v>0</x:v>
      </x:c>
      <x:c r="R8" t="n">
        <x:f>SUM(R2:R7)</x:f>
        <x:v>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9.75" hidden="0" customWidth="1"/>
    <x:col min="3" max="3" width="10.630000114440918" hidden="0" customWidth="1"/>
    <x:col min="4" max="4" width="10.630000114440918" hidden="0" customWidth="1"/>
    <x:col min="5" max="5" width="6" hidden="0" customWidth="1"/>
    <x:col min="6" max="6" width="10.630000114440918" hidden="0" customWidth="1"/>
    <x:col min="7" max="7" width="4.25" hidden="0" customWidth="1"/>
    <x:col min="8" max="8" width="6" hidden="0" customWidth="1"/>
    <x:col min="9" max="9" width="4.25" hidden="0" customWidth="1"/>
    <x:col min="10" max="10" width="6" hidden="0" customWidth="1"/>
    <x:col min="11" max="11" width="4.25" hidden="0" customWidth="1"/>
  </x:cols>
  <x:sheetData>
    <x:row r="1">
      <x:c r="A1"/>
      <x:c r="B1" t="s">
        <x:v>256</x:v>
      </x:c>
      <x:c r="C1"/>
      <x:c r="D1"/>
      <x:c r="E1"/>
      <x:c r="F1"/>
      <x:c r="G1"/>
      <x:c r="H1" t="s">
        <x:v>442</x:v>
      </x:c>
      <x:c r="I1"/>
      <x:c r="J1" t="s">
        <x:v>69</x:v>
      </x:c>
      <x:c r="K1"/>
    </x:row>
    <x:row r="2">
      <x:c r="A2" t="s">
        <x:v>3</x:v>
      </x:c>
      <x:c r="B2" t="s">
        <x:v>443</x:v>
      </x:c>
      <x:c r="C2" t="s">
        <x:v>444</x:v>
      </x:c>
      <x:c r="D2" t="s">
        <x:v>445</x:v>
      </x:c>
      <x:c r="E2"/>
      <x:c r="F2" t="s">
        <x:v>446</x:v>
      </x:c>
      <x:c r="G2" t="s">
        <x:v>57</x:v>
      </x:c>
      <x:c r="H2" t="s">
        <x:v>447</x:v>
      </x:c>
      <x:c r="I2" t="s">
        <x:v>77</x:v>
      </x:c>
      <x:c r="J2" t="s">
        <x:v>447</x:v>
      </x:c>
      <x:c r="K2" t="s">
        <x:v>77</x:v>
      </x:c>
    </x:row>
    <x:row r="3">
      <x:c r="A3" t="str">
        <x:v>销售员001</x:v>
      </x:c>
      <x:c r="B3">
        <x:v>123</x:v>
      </x:c>
      <x:c r="C3">
        <x:v>6</x:v>
      </x:c>
      <x:c r="D3">
        <x:v>5</x:v>
      </x:c>
      <x:c r="E3"/>
      <x:c r="F3">
        <x:v>5</x:v>
      </x:c>
      <x:c r="G3" t="n">
        <x:f>SUM(C3:F3)</x:f>
        <x:v>0</x:v>
      </x:c>
      <x:c r="H3">
        <x:v>8</x:v>
      </x:c>
      <x:c r="I3" t="n">
        <x:f>G3-H3</x:f>
        <x:v>-8</x:v>
      </x:c>
      <x:c r="J3"/>
      <x:c r="K3" t="n">
        <x:f>I3-J3</x:f>
        <x:v>-8</x:v>
      </x:c>
    </x:row>
    <x:row r="4">
      <x:c r="A4" t="str">
        <x:v>销售员002</x:v>
      </x:c>
      <x:c r="B4">
        <x:v>159</x:v>
      </x:c>
      <x:c r="C4">
        <x:v>6</x:v>
      </x:c>
      <x:c r="D4">
        <x:v>6</x:v>
      </x:c>
      <x:c r="E4"/>
      <x:c r="F4">
        <x:v>6</x:v>
      </x:c>
      <x:c r="G4" t="n">
        <x:f>SUM(C4:F4)</x:f>
        <x:v>0</x:v>
      </x:c>
      <x:c r="H4">
        <x:v>6</x:v>
      </x:c>
      <x:c r="I4" t="n">
        <x:f>G4-H4</x:f>
        <x:v>-6</x:v>
      </x:c>
      <x:c r="J4"/>
      <x:c r="K4" t="n">
        <x:f>I4-J4</x:f>
        <x:v>-6</x:v>
      </x:c>
    </x:row>
    <x:row r="5">
      <x:c r="A5" t="str">
        <x:v>销售员003</x:v>
      </x:c>
      <x:c r="B5">
        <x:v>132</x:v>
      </x:c>
      <x:c r="C5">
        <x:v>6</x:v>
      </x:c>
      <x:c r="D5">
        <x:v>6</x:v>
      </x:c>
      <x:c r="E5"/>
      <x:c r="F5">
        <x:v>5</x:v>
      </x:c>
      <x:c r="G5" t="n">
        <x:f>SUM(C5:F5)</x:f>
        <x:v>0</x:v>
      </x:c>
      <x:c r="H5">
        <x:v>7</x:v>
      </x:c>
      <x:c r="I5" t="n">
        <x:f>G5-H5</x:f>
        <x:v>-7</x:v>
      </x:c>
      <x:c r="J5">
        <x:v>4</x:v>
      </x:c>
      <x:c r="K5" t="n">
        <x:f>I5-J5</x:f>
        <x:v>-11</x:v>
      </x:c>
    </x:row>
    <x:row r="6">
      <x:c r="A6" t="str">
        <x:v>销售员004</x:v>
      </x:c>
      <x:c r="B6">
        <x:v>177</x:v>
      </x:c>
      <x:c r="C6">
        <x:v>6</x:v>
      </x:c>
      <x:c r="D6">
        <x:v>6</x:v>
      </x:c>
      <x:c r="E6"/>
      <x:c r="F6">
        <x:v>6</x:v>
      </x:c>
      <x:c r="G6" t="n">
        <x:f>SUM(C6:F6)</x:f>
        <x:v>0</x:v>
      </x:c>
      <x:c r="H6">
        <x:v>9</x:v>
      </x:c>
      <x:c r="I6" t="n">
        <x:f>G6-H6</x:f>
        <x:v>-9</x:v>
      </x:c>
      <x:c r="J6"/>
      <x:c r="K6" t="n">
        <x:f>I6-J6</x:f>
        <x:v>-9</x:v>
      </x:c>
    </x:row>
    <x:row r="7">
      <x:c r="A7" t="s">
        <x:v>57</x:v>
      </x:c>
      <x:c r="B7" t="n">
        <x:f>SUM(B3:B6)</x:f>
        <x:v>0</x:v>
      </x:c>
      <x:c r="C7" t="n">
        <x:f>SUM(C3:C6)</x:f>
        <x:v>0</x:v>
      </x:c>
      <x:c r="D7" t="n">
        <x:f>SUM(D3:D6)</x:f>
        <x:v>0</x:v>
      </x:c>
      <x:c r="E7"/>
      <x:c r="F7" t="n">
        <x:f>SUM(F3:F6)</x:f>
        <x:v>0</x:v>
      </x:c>
      <x:c r="G7" t="n">
        <x:f>SUM(C7:F7)</x:f>
        <x:v>0</x:v>
      </x:c>
      <x:c r="H7" t="n">
        <x:f>SUM(H3:H6)</x:f>
        <x:v>0</x:v>
      </x:c>
      <x:c r="I7" t="n">
        <x:f>G7-H7</x:f>
        <x:v>0</x:v>
      </x:c>
      <x:c r="J7" t="n">
        <x:f>SUM(J3:J6)</x:f>
        <x:v>0</x:v>
      </x:c>
      <x:c r="K7" t="n">
        <x:f>I7-J7</x:f>
        <x:v>0</x:v>
      </x:c>
    </x:row>
    <x:row r="8">
      <x:c r="A8"/>
      <x:c r="B8"/>
      <x:c r="C8"/>
      <x:c r="D8"/>
      <x:c r="E8"/>
      <x:c r="F8"/>
      <x:c r="G8"/>
      <x:c r="H8"/>
      <x:c r="I8"/>
      <x:c r="J8"/>
      <x:c r="K8"/>
    </x:row>
    <x:row r="9">
      <x:c r="A9"/>
      <x:c r="B9" t="s">
        <x:v>269</x:v>
      </x:c>
      <x:c r="C9"/>
      <x:c r="D9"/>
      <x:c r="E9"/>
      <x:c r="F9"/>
      <x:c r="G9"/>
      <x:c r="H9" t="s">
        <x:v>442</x:v>
      </x:c>
      <x:c r="I9"/>
      <x:c r="J9" t="s">
        <x:v>69</x:v>
      </x:c>
      <x:c r="K9"/>
    </x:row>
    <x:row r="10">
      <x:c r="A10" t="s">
        <x:v>3</x:v>
      </x:c>
      <x:c r="B10" t="s">
        <x:v>448</x:v>
      </x:c>
      <x:c r="C10" t="s">
        <x:v>444</x:v>
      </x:c>
      <x:c r="D10" t="s">
        <x:v>445</x:v>
      </x:c>
      <x:c r="E10"/>
      <x:c r="F10" t="s">
        <x:v>446</x:v>
      </x:c>
      <x:c r="G10" t="s">
        <x:v>57</x:v>
      </x:c>
      <x:c r="H10" t="s">
        <x:v>447</x:v>
      </x:c>
      <x:c r="I10" t="s">
        <x:v>77</x:v>
      </x:c>
      <x:c r="J10" t="s">
        <x:v>447</x:v>
      </x:c>
      <x:c r="K10" t="s">
        <x:v>77</x:v>
      </x:c>
    </x:row>
    <x:row r="11">
      <x:c r="A11" t="str">
        <x:v>销售员001</x:v>
      </x:c>
      <x:c r="B11">
        <x:v>70</x:v>
      </x:c>
      <x:c r="C11">
        <x:v>8</x:v>
      </x:c>
      <x:c r="D11">
        <x:v>7</x:v>
      </x:c>
      <x:c r="E11"/>
      <x:c r="F11">
        <x:v>7</x:v>
      </x:c>
      <x:c r="G11" t="n">
        <x:f>SUM(C11:F11)</x:f>
        <x:v>0</x:v>
      </x:c>
      <x:c r="H11">
        <x:v>8</x:v>
      </x:c>
      <x:c r="I11" t="n">
        <x:f>G11-H11</x:f>
        <x:v>-8</x:v>
      </x:c>
      <x:c r="J11">
        <x:v>1</x:v>
      </x:c>
      <x:c r="K11" t="n">
        <x:f>I11-J11</x:f>
        <x:v>-9</x:v>
      </x:c>
    </x:row>
    <x:row r="12">
      <x:c r="A12" t="str">
        <x:v>销售员002</x:v>
      </x:c>
      <x:c r="B12">
        <x:v>67</x:v>
      </x:c>
      <x:c r="C12">
        <x:v>8</x:v>
      </x:c>
      <x:c r="D12">
        <x:v>7</x:v>
      </x:c>
      <x:c r="E12"/>
      <x:c r="F12">
        <x:v>5</x:v>
      </x:c>
      <x:c r="G12" t="n">
        <x:f>SUM(C12:F12)</x:f>
        <x:v>0</x:v>
      </x:c>
      <x:c r="H12">
        <x:v>8</x:v>
      </x:c>
      <x:c r="I12" t="n">
        <x:f>G12-H12</x:f>
        <x:v>-8</x:v>
      </x:c>
      <x:c r="J12"/>
      <x:c r="K12" t="n">
        <x:f>I12-J12</x:f>
        <x:v>-8</x:v>
      </x:c>
    </x:row>
    <x:row r="13">
      <x:c r="A13" t="str">
        <x:v>销售员003</x:v>
      </x:c>
      <x:c r="B13">
        <x:v>57</x:v>
      </x:c>
      <x:c r="C13">
        <x:v>8</x:v>
      </x:c>
      <x:c r="D13">
        <x:v>6</x:v>
      </x:c>
      <x:c r="E13"/>
      <x:c r="F13">
        <x:v>5</x:v>
      </x:c>
      <x:c r="G13" t="n">
        <x:f>SUM(C13:F13)</x:f>
        <x:v>0</x:v>
      </x:c>
      <x:c r="H13">
        <x:v>10</x:v>
      </x:c>
      <x:c r="I13" t="n">
        <x:f>G13-H13</x:f>
        <x:v>-10</x:v>
      </x:c>
      <x:c r="J13"/>
      <x:c r="K13" t="n">
        <x:f>I13-J13</x:f>
        <x:v>-10</x:v>
      </x:c>
    </x:row>
    <x:row r="14">
      <x:c r="A14" t="str">
        <x:v>销售员004</x:v>
      </x:c>
      <x:c r="B14">
        <x:v>87</x:v>
      </x:c>
      <x:c r="C14">
        <x:v>8</x:v>
      </x:c>
      <x:c r="D14">
        <x:v>6</x:v>
      </x:c>
      <x:c r="E14"/>
      <x:c r="F14">
        <x:v>5</x:v>
      </x:c>
      <x:c r="G14" t="n">
        <x:f>SUM(C14:F14)</x:f>
        <x:v>0</x:v>
      </x:c>
      <x:c r="H14">
        <x:v>13</x:v>
      </x:c>
      <x:c r="I14" t="n">
        <x:f>G14-H14</x:f>
        <x:v>-13</x:v>
      </x:c>
      <x:c r="J14"/>
      <x:c r="K14" t="n">
        <x:f>I14-J14</x:f>
        <x:v>-13</x:v>
      </x:c>
    </x:row>
    <x:row r="15">
      <x:c r="A15" t="s">
        <x:v>57</x:v>
      </x:c>
      <x:c r="B15" t="n">
        <x:f>SUM(B11:B14)</x:f>
        <x:v>0</x:v>
      </x:c>
      <x:c r="C15" t="n">
        <x:f>SUM(C11:C14)</x:f>
        <x:v>0</x:v>
      </x:c>
      <x:c r="D15" t="n">
        <x:f>SUM(D11:D14)</x:f>
        <x:v>0</x:v>
      </x:c>
      <x:c r="E15"/>
      <x:c r="F15" t="n">
        <x:f>SUM(F11:F14)</x:f>
        <x:v>0</x:v>
      </x:c>
      <x:c r="G15" t="n">
        <x:f>SUM(G11:G14)</x:f>
        <x:v>0</x:v>
      </x:c>
      <x:c r="H15" t="n">
        <x:f>SUM(H11:H14)</x:f>
        <x:v>0</x:v>
      </x:c>
      <x:c r="I15" t="n">
        <x:f>G15-H15</x:f>
        <x:v>0</x:v>
      </x:c>
      <x:c r="J15" t="n">
        <x:f>SUM(J11:J14)</x:f>
        <x:v>0</x:v>
      </x:c>
      <x:c r="K15" t="n">
        <x:f>I15-J15</x:f>
        <x:v>0</x:v>
      </x:c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 t="s">
        <x:v>449</x:v>
      </x:c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 t="s">
        <x:v>256</x:v>
      </x:c>
      <x:c r="C18"/>
      <x:c r="D18"/>
      <x:c r="E18"/>
      <x:c r="F18"/>
      <x:c r="G18"/>
      <x:c r="H18" t="s">
        <x:v>442</x:v>
      </x:c>
      <x:c r="I18"/>
      <x:c r="J18" t="s">
        <x:v>69</x:v>
      </x:c>
      <x:c r="K18"/>
    </x:row>
    <x:row r="19">
      <x:c r="A19" t="s">
        <x:v>3</x:v>
      </x:c>
      <x:c r="B19" t="s">
        <x:v>443</x:v>
      </x:c>
      <x:c r="C19" t="s">
        <x:v>450</x:v>
      </x:c>
      <x:c r="D19" t="s">
        <x:v>157</x:v>
      </x:c>
      <x:c r="E19" t="s">
        <x:v>159</x:v>
      </x:c>
      <x:c r="F19" t="s">
        <x:v>173</x:v>
      </x:c>
      <x:c r="G19" t="s">
        <x:v>57</x:v>
      </x:c>
      <x:c r="H19" t="s">
        <x:v>447</x:v>
      </x:c>
      <x:c r="I19" t="s">
        <x:v>77</x:v>
      </x:c>
      <x:c r="J19" t="s">
        <x:v>447</x:v>
      </x:c>
      <x:c r="K19" t="s">
        <x:v>77</x:v>
      </x:c>
    </x:row>
    <x:row r="20">
      <x:c r="A20" t="str">
        <x:v>销售员001</x:v>
      </x:c>
      <x:c r="B20">
        <x:v>123</x:v>
      </x:c>
      <x:c r="C20">
        <x:v>8</x:v>
      </x:c>
      <x:c r="D20">
        <x:v>4</x:v>
      </x:c>
      <x:c r="E20">
        <x:v>2</x:v>
      </x:c>
      <x:c r="F20">
        <x:v>2</x:v>
      </x:c>
      <x:c r="G20" t="n">
        <x:f>SUM(D20:F20)</x:f>
        <x:v>0</x:v>
      </x:c>
      <x:c r="H20">
        <x:v>8</x:v>
      </x:c>
      <x:c r="I20" t="n">
        <x:f>G20-H20</x:f>
        <x:v>-8</x:v>
      </x:c>
      <x:c r="J20"/>
      <x:c r="K20" t="n">
        <x:f>I20-J20</x:f>
        <x:v>-8</x:v>
      </x:c>
    </x:row>
    <x:row r="21">
      <x:c r="A21" t="str">
        <x:v>销售员002</x:v>
      </x:c>
      <x:c r="B21">
        <x:v>159</x:v>
      </x:c>
      <x:c r="C21">
        <x:v>12</x:v>
      </x:c>
      <x:c r="D21">
        <x:v>6</x:v>
      </x:c>
      <x:c r="E21">
        <x:v>3</x:v>
      </x:c>
      <x:c r="F21">
        <x:v>3</x:v>
      </x:c>
      <x:c r="G21" t="n">
        <x:f>SUM(D21:F21)</x:f>
        <x:v>0</x:v>
      </x:c>
      <x:c r="H21">
        <x:v>6</x:v>
      </x:c>
      <x:c r="I21" t="n">
        <x:f>G21-H21</x:f>
        <x:v>-6</x:v>
      </x:c>
      <x:c r="J21"/>
      <x:c r="K21" t="n">
        <x:f>I21-J21</x:f>
        <x:v>-6</x:v>
      </x:c>
    </x:row>
    <x:row r="22">
      <x:c r="A22" t="str">
        <x:v>销售员003</x:v>
      </x:c>
      <x:c r="B22">
        <x:v>132</x:v>
      </x:c>
      <x:c r="C22">
        <x:v>6</x:v>
      </x:c>
      <x:c r="D22">
        <x:v>2</x:v>
      </x:c>
      <x:c r="E22">
        <x:v>2</x:v>
      </x:c>
      <x:c r="F22">
        <x:v>2</x:v>
      </x:c>
      <x:c r="G22" t="n">
        <x:f>SUM(D22:F22)</x:f>
        <x:v>0</x:v>
      </x:c>
      <x:c r="H22">
        <x:v>7</x:v>
      </x:c>
      <x:c r="I22" t="n">
        <x:f>G22-H22</x:f>
        <x:v>-7</x:v>
      </x:c>
      <x:c r="J22">
        <x:v>4</x:v>
      </x:c>
      <x:c r="K22" t="n">
        <x:f>I22-J22</x:f>
        <x:v>-11</x:v>
      </x:c>
    </x:row>
    <x:row r="23">
      <x:c r="A23" t="str">
        <x:v>销售员004</x:v>
      </x:c>
      <x:c r="B23">
        <x:v>177</x:v>
      </x:c>
      <x:c r="C23">
        <x:v>9</x:v>
      </x:c>
      <x:c r="D23">
        <x:v>3</x:v>
      </x:c>
      <x:c r="E23">
        <x:v>3</x:v>
      </x:c>
      <x:c r="F23">
        <x:v>3</x:v>
      </x:c>
      <x:c r="G23" t="n">
        <x:f>SUM(D23:F23)</x:f>
        <x:v>0</x:v>
      </x:c>
      <x:c r="H23">
        <x:v>9</x:v>
      </x:c>
      <x:c r="I23" t="n">
        <x:f>G23-H23</x:f>
        <x:v>-9</x:v>
      </x:c>
      <x:c r="J23"/>
      <x:c r="K23" t="n">
        <x:f>I23-J23</x:f>
        <x:v>-9</x:v>
      </x:c>
    </x:row>
    <x:row r="24">
      <x:c r="A24" t="s">
        <x:v>57</x:v>
      </x:c>
      <x:c r="B24" t="n">
        <x:f>SUM(B20:B23)</x:f>
        <x:v>0</x:v>
      </x:c>
      <x:c r="C24" t="str">
        <x:v>35</x:v>
      </x:c>
      <x:c r="D24" t="n">
        <x:f>SUM(D20:D23)</x:f>
        <x:v>0</x:v>
      </x:c>
      <x:c r="E24" t="n">
        <x:f>SUM(E20:E23)</x:f>
        <x:v>0</x:v>
      </x:c>
      <x:c r="F24" t="n">
        <x:f>SUM(F20:F23)</x:f>
        <x:v>0</x:v>
      </x:c>
      <x:c r="G24" t="n">
        <x:f>SUM(D24:F24)</x:f>
        <x:v>0</x:v>
      </x:c>
      <x:c r="H24" t="n">
        <x:f>SUM(H20:H23)</x:f>
        <x:v>0</x:v>
      </x:c>
      <x:c r="I24" t="n">
        <x:f>G24-H24</x:f>
        <x:v>0</x:v>
      </x:c>
      <x:c r="J24" t="n">
        <x:f>SUM(J20:J23)</x:f>
        <x:v>0</x:v>
      </x:c>
      <x:c r="K24" t="n">
        <x:f>I24-J24</x:f>
        <x:v>0</x:v>
      </x:c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  <x:row r="26">
      <x:c r="A26"/>
      <x:c r="B26" t="s">
        <x:v>269</x:v>
      </x:c>
      <x:c r="C26"/>
      <x:c r="D26"/>
      <x:c r="E26"/>
      <x:c r="F26"/>
      <x:c r="G26"/>
      <x:c r="H26" t="s">
        <x:v>442</x:v>
      </x:c>
      <x:c r="I26"/>
      <x:c r="J26" t="s">
        <x:v>69</x:v>
      </x:c>
      <x:c r="K26"/>
    </x:row>
    <x:row r="27">
      <x:c r="A27" t="s">
        <x:v>3</x:v>
      </x:c>
      <x:c r="B27" t="s">
        <x:v>448</x:v>
      </x:c>
      <x:c r="C27" t="s">
        <x:v>450</x:v>
      </x:c>
      <x:c r="D27" t="s">
        <x:v>157</x:v>
      </x:c>
      <x:c r="E27" t="s">
        <x:v>159</x:v>
      </x:c>
      <x:c r="F27" t="s">
        <x:v>173</x:v>
      </x:c>
      <x:c r="G27" t="s">
        <x:v>57</x:v>
      </x:c>
      <x:c r="H27" t="s">
        <x:v>447</x:v>
      </x:c>
      <x:c r="I27" t="s">
        <x:v>77</x:v>
      </x:c>
      <x:c r="J27" t="s">
        <x:v>447</x:v>
      </x:c>
      <x:c r="K27" t="s">
        <x:v>77</x:v>
      </x:c>
    </x:row>
    <x:row r="28">
      <x:c r="A28" t="str">
        <x:v>销售员001</x:v>
      </x:c>
      <x:c r="B28">
        <x:v>70</x:v>
      </x:c>
      <x:c r="C28">
        <x:v>13</x:v>
      </x:c>
      <x:c r="D28">
        <x:v>6</x:v>
      </x:c>
      <x:c r="E28">
        <x:v>4</x:v>
      </x:c>
      <x:c r="F28">
        <x:v>3</x:v>
      </x:c>
      <x:c r="G28" t="n">
        <x:f>SUM(D28:F28)</x:f>
        <x:v>0</x:v>
      </x:c>
      <x:c r="H28">
        <x:v>8</x:v>
      </x:c>
      <x:c r="I28" t="n">
        <x:f>G28-H28</x:f>
        <x:v>-8</x:v>
      </x:c>
      <x:c r="J28">
        <x:v>1</x:v>
      </x:c>
      <x:c r="K28" t="n">
        <x:f>I28-J28</x:f>
        <x:v>-9</x:v>
      </x:c>
    </x:row>
    <x:row r="29">
      <x:c r="A29" t="str">
        <x:v>销售员002</x:v>
      </x:c>
      <x:c r="B29">
        <x:v>67</x:v>
      </x:c>
      <x:c r="C29">
        <x:v>12</x:v>
      </x:c>
      <x:c r="D29">
        <x:v>6</x:v>
      </x:c>
      <x:c r="E29">
        <x:v>3</x:v>
      </x:c>
      <x:c r="F29">
        <x:v>3</x:v>
      </x:c>
      <x:c r="G29" t="n">
        <x:f>SUM(D29:F29)</x:f>
        <x:v>0</x:v>
      </x:c>
      <x:c r="H29">
        <x:v>8</x:v>
      </x:c>
      <x:c r="I29" t="n">
        <x:f>G29-H29</x:f>
        <x:v>-8</x:v>
      </x:c>
      <x:c r="J29"/>
      <x:c r="K29" t="n">
        <x:f>I29-J29</x:f>
        <x:v>-8</x:v>
      </x:c>
    </x:row>
    <x:row r="30">
      <x:c r="A30" t="str">
        <x:v>销售员003</x:v>
      </x:c>
      <x:c r="B30">
        <x:v>57</x:v>
      </x:c>
      <x:c r="C30">
        <x:v>9</x:v>
      </x:c>
      <x:c r="D30">
        <x:v>3</x:v>
      </x:c>
      <x:c r="E30">
        <x:v>3</x:v>
      </x:c>
      <x:c r="F30">
        <x:v>3</x:v>
      </x:c>
      <x:c r="G30" t="n">
        <x:f>SUM(D30:F30)</x:f>
        <x:v>0</x:v>
      </x:c>
      <x:c r="H30">
        <x:v>10</x:v>
      </x:c>
      <x:c r="I30" t="n">
        <x:f>G30-H30</x:f>
        <x:v>-10</x:v>
      </x:c>
      <x:c r="J30"/>
      <x:c r="K30" t="n">
        <x:f>I30-J30</x:f>
        <x:v>-10</x:v>
      </x:c>
    </x:row>
    <x:row r="31">
      <x:c r="A31" t="str">
        <x:v>销售员004</x:v>
      </x:c>
      <x:c r="B31">
        <x:v>87</x:v>
      </x:c>
      <x:c r="C31">
        <x:v>6</x:v>
      </x:c>
      <x:c r="D31">
        <x:v>2</x:v>
      </x:c>
      <x:c r="E31">
        <x:v>2</x:v>
      </x:c>
      <x:c r="F31">
        <x:v>2</x:v>
      </x:c>
      <x:c r="G31" t="n">
        <x:f>SUM(D31:F31)</x:f>
        <x:v>0</x:v>
      </x:c>
      <x:c r="H31">
        <x:v>13</x:v>
      </x:c>
      <x:c r="I31" t="n">
        <x:f>G31-H31</x:f>
        <x:v>-13</x:v>
      </x:c>
      <x:c r="J31"/>
      <x:c r="K31" t="n">
        <x:f>I31-J31</x:f>
        <x:v>-13</x:v>
      </x:c>
    </x:row>
    <x:row r="32">
      <x:c r="A32" t="s">
        <x:v>57</x:v>
      </x:c>
      <x:c r="B32" t="n">
        <x:f>SUM(B28:B31)</x:f>
        <x:v>0</x:v>
      </x:c>
      <x:c r="C32">
        <x:v>40</x:v>
      </x:c>
      <x:c r="D32" t="n">
        <x:f>SUM(D28:D31)</x:f>
        <x:v>0</x:v>
      </x:c>
      <x:c r="E32" t="n">
        <x:f>SUM(E28:E31)</x:f>
        <x:v>0</x:v>
      </x:c>
      <x:c r="F32" t="n">
        <x:f>SUM(F28:F31)</x:f>
        <x:v>0</x:v>
      </x:c>
      <x:c r="G32" t="n">
        <x:f>SUM(D32:F32)</x:f>
        <x:v>0</x:v>
      </x:c>
      <x:c r="H32" t="n">
        <x:f>SUM(H28:H31)</x:f>
        <x:v>0</x:v>
      </x:c>
      <x:c r="I32" t="n">
        <x:f>G32-H32</x:f>
        <x:v>0</x:v>
      </x:c>
      <x:c r="J32" t="n">
        <x:f>SUM(J28:J31)</x:f>
        <x:v>0</x:v>
      </x:c>
      <x:c r="K32" t="n">
        <x:f>I32-J32</x:f>
        <x:v>0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1.880000114440918" hidden="0" customWidth="1"/>
    <x:col min="2" max="2" width="7.880000114440918" hidden="0" customWidth="1"/>
  </x:cols>
  <x:sheetData>
    <x:row r="1">
      <x:c r="A1" t="s">
        <x:v>318</x:v>
      </x:c>
      <x:c r="B1" t="s">
        <x:v>149</x:v>
      </x:c>
    </x:row>
    <x:row r="2">
      <x:c r="A2" t="s">
        <x:v>242</x:v>
      </x:c>
      <x:c r="B2" t="str">
        <x:v>终端049</x:v>
      </x:c>
    </x:row>
    <x:row r="3">
      <x:c r="A3" t="s">
        <x:v>451</x:v>
      </x:c>
      <x:c r="B3" t="str">
        <x:v>终端126</x:v>
      </x:c>
    </x:row>
    <x:row r="4">
      <x:c r="A4" t="s">
        <x:v>208</x:v>
      </x:c>
      <x:c r="B4" t="str">
        <x:v>终端022</x:v>
      </x:c>
    </x:row>
    <x:row r="5">
      <x:c r="A5" t="s">
        <x:v>381</x:v>
      </x:c>
      <x:c r="B5" t="str">
        <x:v>终端091</x:v>
      </x:c>
    </x:row>
    <x:row r="6">
      <x:c r="A6" t="s">
        <x:v>383</x:v>
      </x:c>
      <x:c r="B6" t="str">
        <x:v>终端092</x:v>
      </x:c>
    </x:row>
    <x:row r="7">
      <x:c r="A7" t="s">
        <x:v>385</x:v>
      </x:c>
      <x:c r="B7" t="str">
        <x:v>终端093</x:v>
      </x:c>
    </x:row>
    <x:row r="8">
      <x:c r="A8" t="s">
        <x:v>365</x:v>
      </x:c>
      <x:c r="B8" t="str">
        <x:v>终端083</x:v>
      </x:c>
    </x:row>
    <x:row r="9">
      <x:c r="A9" t="s">
        <x:v>387</x:v>
      </x:c>
      <x:c r="B9" t="str">
        <x:v>终端094</x:v>
      </x:c>
    </x:row>
    <x:row r="10">
      <x:c r="A10" t="s">
        <x:v>391</x:v>
      </x:c>
      <x:c r="B10" t="str">
        <x:v>终端096</x:v>
      </x:c>
    </x:row>
    <x:row r="11">
      <x:c r="A11" t="s">
        <x:v>364</x:v>
      </x:c>
      <x:c r="B11" t="str">
        <x:v>终端098</x:v>
      </x:c>
    </x:row>
    <x:row r="12">
      <x:c r="A12" t="s">
        <x:v>366</x:v>
      </x:c>
      <x:c r="B12" t="str">
        <x:v>终端099</x:v>
      </x:c>
    </x:row>
    <x:row r="13">
      <x:c r="A13" t="s">
        <x:v>368</x:v>
      </x:c>
      <x:c r="B13" t="str">
        <x:v>终端100</x:v>
      </x:c>
    </x:row>
    <x:row r="14">
      <x:c r="A14" t="s">
        <x:v>372</x:v>
      </x:c>
      <x:c r="B14" t="str">
        <x:v>终端102</x:v>
      </x:c>
    </x:row>
    <x:row r="15">
      <x:c r="A15" t="s">
        <x:v>374</x:v>
      </x:c>
      <x:c r="B15" t="str">
        <x:v>终端103</x:v>
      </x:c>
    </x:row>
    <x:row r="16">
      <x:c r="A16" t="s">
        <x:v>370</x:v>
      </x:c>
      <x:c r="B16" t="str">
        <x:v>终端101</x:v>
      </x:c>
    </x:row>
    <x:row r="17">
      <x:c r="A17" t="s">
        <x:v>367</x:v>
      </x:c>
      <x:c r="B17" t="str">
        <x:v>终端084</x:v>
      </x:c>
    </x:row>
    <x:row r="18">
      <x:c r="A18" t="s">
        <x:v>376</x:v>
      </x:c>
      <x:c r="B18" t="str">
        <x:v>终端104</x:v>
      </x:c>
    </x:row>
    <x:row r="19">
      <x:c r="A19" t="s">
        <x:v>378</x:v>
      </x:c>
      <x:c r="B19" t="str">
        <x:v>终端105</x:v>
      </x:c>
    </x:row>
    <x:row r="20">
      <x:c r="A20" t="s">
        <x:v>380</x:v>
      </x:c>
      <x:c r="B20" t="str">
        <x:v>终端106</x:v>
      </x:c>
    </x:row>
    <x:row r="21">
      <x:c r="A21" t="s">
        <x:v>375</x:v>
      </x:c>
      <x:c r="B21" t="str">
        <x:v>终端088</x:v>
      </x:c>
    </x:row>
    <x:row r="22">
      <x:c r="A22" t="s">
        <x:v>377</x:v>
      </x:c>
      <x:c r="B22" t="str">
        <x:v>终端089</x:v>
      </x:c>
    </x:row>
    <x:row r="23">
      <x:c r="A23" t="s">
        <x:v>382</x:v>
      </x:c>
      <x:c r="B23" t="str">
        <x:v>终端107</x:v>
      </x:c>
    </x:row>
    <x:row r="24">
      <x:c r="A24" t="s">
        <x:v>384</x:v>
      </x:c>
      <x:c r="B24" t="str">
        <x:v>终端108</x:v>
      </x:c>
    </x:row>
    <x:row r="25">
      <x:c r="A25" t="s">
        <x:v>369</x:v>
      </x:c>
      <x:c r="B25" t="str">
        <x:v>终端085</x:v>
      </x:c>
    </x:row>
    <x:row r="26">
      <x:c r="A26" t="s">
        <x:v>386</x:v>
      </x:c>
      <x:c r="B26" t="str">
        <x:v>终端109</x:v>
      </x:c>
    </x:row>
    <x:row r="27">
      <x:c r="A27" t="s">
        <x:v>371</x:v>
      </x:c>
      <x:c r="B27" t="str">
        <x:v>终端086</x:v>
      </x:c>
    </x:row>
    <x:row r="28">
      <x:c r="A28" t="s">
        <x:v>379</x:v>
      </x:c>
      <x:c r="B28" t="str">
        <x:v>终端090</x:v>
      </x:c>
    </x:row>
    <x:row r="29">
      <x:c r="A29" t="s">
        <x:v>388</x:v>
      </x:c>
      <x:c r="B29" t="str">
        <x:v>终端110</x:v>
      </x:c>
    </x:row>
    <x:row r="30">
      <x:c r="A30" t="s">
        <x:v>395</x:v>
      </x:c>
      <x:c r="B30" t="str">
        <x:v>终端114</x:v>
      </x:c>
    </x:row>
    <x:row r="31">
      <x:c r="A31" t="s">
        <x:v>390</x:v>
      </x:c>
      <x:c r="B31" t="str">
        <x:v>终端111</x:v>
      </x:c>
    </x:row>
    <x:row r="32">
      <x:c r="A32" t="s">
        <x:v>392</x:v>
      </x:c>
      <x:c r="B32" t="str">
        <x:v>终端112</x:v>
      </x:c>
    </x:row>
    <x:row r="33">
      <x:c r="A33" t="s">
        <x:v>373</x:v>
      </x:c>
      <x:c r="B33" t="str">
        <x:v>终端087</x:v>
      </x:c>
    </x:row>
    <x:row r="34">
      <x:c r="A34" t="s">
        <x:v>394</x:v>
      </x:c>
      <x:c r="B34" t="str">
        <x:v>终端113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4.25" hidden="0" customWidth="1"/>
    <x:col min="3" max="3" width="4.25" hidden="0" customWidth="1"/>
    <x:col min="4" max="4" width="4.25" hidden="0" customWidth="1"/>
    <x:col min="5" max="5" width="6" hidden="0" customWidth="1"/>
    <x:col min="6" max="6" width="4.25" hidden="0" customWidth="1"/>
    <x:col min="7" max="7" width="4.25" hidden="0" customWidth="1"/>
  </x:cols>
  <x:sheetData>
    <x:row r="1">
      <x:c r="A1" t="s">
        <x:v>3</x:v>
      </x:c>
      <x:c r="B1" t="s">
        <x:v>254</x:v>
      </x:c>
      <x:c r="C1" t="s">
        <x:v>265</x:v>
      </x:c>
      <x:c r="D1" t="s">
        <x:v>285</x:v>
      </x:c>
      <x:c r="E1" t="s">
        <x:v>283</x:v>
      </x:c>
      <x:c r="F1" t="s">
        <x:v>452</x:v>
      </x:c>
      <x:c r="G1" t="s">
        <x:v>57</x:v>
      </x:c>
    </x:row>
    <x:row r="2">
      <x:c r="A2" t="str">
        <x:v>销售员003</x:v>
      </x:c>
      <x:c r="B2">
        <x:v>9</x:v>
      </x:c>
      <x:c r="C2"/>
      <x:c r="D2">
        <x:v>2</x:v>
      </x:c>
      <x:c r="E2">
        <x:v>4</x:v>
      </x:c>
      <x:c r="F2"/>
      <x:c r="G2" t="n">
        <x:f>SUM(B2:F2)</x:f>
        <x:v>0</x:v>
      </x:c>
    </x:row>
    <x:row r="3">
      <x:c r="A3" t="str">
        <x:v>销售员004</x:v>
      </x:c>
      <x:c r="B3">
        <x:v>6</x:v>
      </x:c>
      <x:c r="C3"/>
      <x:c r="D3"/>
      <x:c r="E3"/>
      <x:c r="F3"/>
      <x:c r="G3" t="n">
        <x:f>SUM(B3:F3)</x:f>
        <x:v>0</x:v>
      </x:c>
    </x:row>
    <x:row r="4">
      <x:c r="A4" t="str">
        <x:v>销售员002</x:v>
      </x:c>
      <x:c r="B4">
        <x:v>9</x:v>
      </x:c>
      <x:c r="C4">
        <x:v>2</x:v>
      </x:c>
      <x:c r="D4"/>
      <x:c r="E4"/>
      <x:c r="F4"/>
      <x:c r="G4" t="n">
        <x:f>SUM(B4:F4)</x:f>
        <x:v>0</x:v>
      </x:c>
    </x:row>
    <x:row r="5">
      <x:c r="A5" t="str">
        <x:v>销售员001</x:v>
      </x:c>
      <x:c r="B5">
        <x:v>18</x:v>
      </x:c>
      <x:c r="C5">
        <x:v>1</x:v>
      </x:c>
      <x:c r="D5">
        <x:v>2</x:v>
      </x:c>
      <x:c r="E5"/>
      <x:c r="F5">
        <x:v>1</x:v>
      </x:c>
      <x:c r="G5" t="n">
        <x:f>SUM(B5:F5)</x:f>
        <x:v>0</x:v>
      </x:c>
    </x:row>
    <x:row r="6">
      <x:c r="A6" t="str">
        <x:v>销售员006</x:v>
      </x:c>
      <x:c r="B6">
        <x:v>17</x:v>
      </x:c>
      <x:c r="C6">
        <x:v>2</x:v>
      </x:c>
      <x:c r="D6"/>
      <x:c r="E6"/>
      <x:c r="F6"/>
      <x:c r="G6" t="n">
        <x:f>SUM(B6:F6)</x:f>
        <x:v>0</x:v>
      </x:c>
    </x:row>
    <x:row r="7">
      <x:c r="A7" t="str">
        <x:v>销售员005</x:v>
      </x:c>
      <x:c r="B7">
        <x:v>8</x:v>
      </x:c>
      <x:c r="C7"/>
      <x:c r="D7"/>
      <x:c r="E7"/>
      <x:c r="F7"/>
      <x:c r="G7" t="n">
        <x:f>SUM(B7:F7)</x:f>
        <x:v>0</x:v>
      </x:c>
    </x:row>
    <x:row r="8">
      <x:c r="A8" t="s">
        <x:v>57</x:v>
      </x:c>
      <x:c r="B8" t="n">
        <x:f>SUM(B2:B7)</x:f>
        <x:v>0</x:v>
      </x:c>
      <x:c r="C8" t="n">
        <x:f>SUM(C2:C7)</x:f>
        <x:v>0</x:v>
      </x:c>
      <x:c r="D8" t="n">
        <x:f>SUM(D2:D7)</x:f>
        <x:v>0</x:v>
      </x:c>
      <x:c r="E8" t="n">
        <x:f>SUM(E2:E7)</x:f>
        <x:v>0</x:v>
      </x:c>
      <x:c r="F8" t="n">
        <x:f>SUM(F2:F7)</x:f>
        <x:v>0</x:v>
      </x:c>
      <x:c r="G8" t="n">
        <x:f>SUM(G2:G7)</x:f>
        <x:v>0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4.25" hidden="0" customWidth="1"/>
    <x:col min="3" max="3" width="4.25" hidden="0" customWidth="1"/>
    <x:col min="4" max="4" width="6" hidden="0" customWidth="1"/>
    <x:col min="5" max="5" width="6" hidden="0" customWidth="1"/>
    <x:col min="6" max="6" width="6" hidden="0" customWidth="1"/>
  </x:cols>
  <x:sheetData>
    <x:row r="1">
      <x:c r="A1" t="s">
        <x:v>3</x:v>
      </x:c>
      <x:c r="B1" t="s">
        <x:v>81</x:v>
      </x:c>
      <x:c r="C1" t="s">
        <x:v>435</x:v>
      </x:c>
      <x:c r="D1" t="s">
        <x:v>159</x:v>
      </x:c>
      <x:c r="E1" t="s">
        <x:v>173</x:v>
      </x:c>
      <x:c r="F1" t="s">
        <x:v>165</x:v>
      </x:c>
    </x:row>
    <x:row r="2">
      <x:c r="A2" t="str">
        <x:v>销售员003</x:v>
      </x:c>
      <x:c r="B2">
        <x:v>2</x:v>
      </x:c>
      <x:c r="C2">
        <x:v>1</x:v>
      </x:c>
      <x:c r="D2">
        <x:v>1</x:v>
      </x:c>
      <x:c r="E2"/>
      <x:c r="F2"/>
    </x:row>
    <x:row r="3">
      <x:c r="A3" t="str">
        <x:v>销售员004</x:v>
      </x:c>
      <x:c r="B3">
        <x:v>3</x:v>
      </x:c>
      <x:c r="C3">
        <x:v>1</x:v>
      </x:c>
      <x:c r="D3">
        <x:v>1</x:v>
      </x:c>
      <x:c r="E3">
        <x:v>1</x:v>
      </x:c>
      <x:c r="F3"/>
    </x:row>
    <x:row r="4">
      <x:c r="A4" t="str">
        <x:v>销售员002</x:v>
      </x:c>
      <x:c r="B4">
        <x:v>4</x:v>
      </x:c>
      <x:c r="C4">
        <x:v>1</x:v>
      </x:c>
      <x:c r="D4">
        <x:v>1</x:v>
      </x:c>
      <x:c r="E4">
        <x:v>1</x:v>
      </x:c>
      <x:c r="F4">
        <x:v>1</x:v>
      </x:c>
    </x:row>
    <x:row r="5">
      <x:c r="A5" t="str">
        <x:v>销售员001</x:v>
      </x:c>
      <x:c r="B5">
        <x:v>5</x:v>
      </x:c>
      <x:c r="C5">
        <x:v>2</x:v>
      </x:c>
      <x:c r="D5">
        <x:v>1</x:v>
      </x:c>
      <x:c r="E5">
        <x:v>1</x:v>
      </x:c>
      <x:c r="F5">
        <x:v>1</x:v>
      </x:c>
    </x:row>
    <x:row r="6">
      <x:c r="A6" t="str">
        <x:v>销售员006</x:v>
      </x:c>
      <x:c r="B6">
        <x:v>6</x:v>
      </x:c>
      <x:c r="C6">
        <x:v>2</x:v>
      </x:c>
      <x:c r="D6">
        <x:v>2</x:v>
      </x:c>
      <x:c r="E6">
        <x:v>1</x:v>
      </x:c>
      <x:c r="F6">
        <x:v>1</x:v>
      </x:c>
    </x:row>
    <x:row r="7">
      <x:c r="A7" t="str">
        <x:v>销售员005</x:v>
      </x:c>
      <x:c r="B7">
        <x:v>6</x:v>
      </x:c>
      <x:c r="C7">
        <x:v>2</x:v>
      </x:c>
      <x:c r="D7">
        <x:v>2</x:v>
      </x:c>
      <x:c r="E7">
        <x:v>1</x:v>
      </x:c>
      <x:c r="F7">
        <x:v>1</x:v>
      </x:c>
    </x:row>
    <x:row r="8">
      <x:c r="A8" t="s">
        <x:v>57</x:v>
      </x:c>
      <x:c r="B8" t="n">
        <x:f>SUM(B2:B7)</x:f>
        <x:v>0</x:v>
      </x:c>
      <x:c r="C8" t="n">
        <x:f>SUM(C2:C7)</x:f>
        <x:v>0</x:v>
      </x:c>
      <x:c r="D8" t="n">
        <x:f>SUM(D2:D7)</x:f>
        <x:v>0</x:v>
      </x:c>
      <x:c r="E8" t="n">
        <x:f>SUM(E2:E7)</x:f>
        <x:v>0</x:v>
      </x:c>
      <x:c r="F8" t="n">
        <x:f>SUM(F2:F7)</x:f>
        <x:v>0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40.880001068115234" hidden="0" customWidth="1"/>
    <x:col min="3" max="3" width="9" hidden="0" customWidth="1"/>
    <x:col min="4" max="4" width="9" hidden="0" customWidth="1"/>
  </x:cols>
  <x:sheetData>
    <x:row r="1">
      <x:c r="A1" t="s">
        <x:v>121</x:v>
      </x:c>
      <x:c r="B1"/>
      <x:c r="C1"/>
      <x:c r="D1"/>
    </x:row>
    <x:row r="2">
      <x:c r="A2" t="s">
        <x:v>122</x:v>
      </x:c>
      <x:c r="B2"/>
      <x:c r="C2"/>
      <x:c r="D2"/>
    </x:row>
    <x:row r="3">
      <x:c r="A3" t="s">
        <x:v>3</x:v>
      </x:c>
      <x:c r="B3" t="s">
        <x:v>88</x:v>
      </x:c>
      <x:c r="C3" t="s">
        <x:v>89</x:v>
      </x:c>
      <x:c r="D3" t="s">
        <x:v>90</x:v>
      </x:c>
    </x:row>
    <x:row r="4">
      <x:c r="A4" t="str">
        <x:v>销售员003</x:v>
      </x:c>
      <x:c r="B4" t="s">
        <x:v>92</x:v>
      </x:c>
      <x:c r="C4">
        <x:v>92</x:v>
      </x:c>
      <x:c r="D4">
        <x:v>0.559</x:v>
      </x:c>
    </x:row>
    <x:row r="5">
      <x:c r="A5" t="str">
        <x:v>销售员003</x:v>
      </x:c>
      <x:c r="B5" t="s">
        <x:v>93</x:v>
      </x:c>
      <x:c r="C5">
        <x:v>1411</x:v>
      </x:c>
      <x:c r="D5">
        <x:v>9.047</x:v>
      </x:c>
    </x:row>
    <x:row r="6">
      <x:c r="A6" t="str">
        <x:v>销售员003</x:v>
      </x:c>
      <x:c r="B6" t="s">
        <x:v>95</x:v>
      </x:c>
      <x:c r="C6">
        <x:v>4049.7</x:v>
      </x:c>
      <x:c r="D6">
        <x:v>24.59</x:v>
      </x:c>
    </x:row>
    <x:row r="7">
      <x:c r="A7" t="str">
        <x:v>销售员003</x:v>
      </x:c>
      <x:c r="B7" t="s">
        <x:v>123</x:v>
      </x:c>
      <x:c r="C7">
        <x:v>36</x:v>
      </x:c>
      <x:c r="D7">
        <x:v>0.219</x:v>
      </x:c>
    </x:row>
    <x:row r="8">
      <x:c r="A8" t="str">
        <x:v>销售员003</x:v>
      </x:c>
      <x:c r="B8" t="s">
        <x:v>99</x:v>
      </x:c>
      <x:c r="C8">
        <x:v>8</x:v>
      </x:c>
      <x:c r="D8">
        <x:v>0.058</x:v>
      </x:c>
    </x:row>
    <x:row r="9">
      <x:c r="A9" t="str">
        <x:v>销售员003</x:v>
      </x:c>
      <x:c r="B9" t="s">
        <x:v>100</x:v>
      </x:c>
      <x:c r="C9">
        <x:v>477</x:v>
      </x:c>
      <x:c r="D9">
        <x:v>3.059</x:v>
      </x:c>
    </x:row>
    <x:row r="10">
      <x:c r="A10" t="str">
        <x:v>销售员003</x:v>
      </x:c>
      <x:c r="B10" t="s">
        <x:v>107</x:v>
      </x:c>
      <x:c r="C10">
        <x:v>10</x:v>
      </x:c>
      <x:c r="D10">
        <x:v>0.078</x:v>
      </x:c>
    </x:row>
    <x:row r="11">
      <x:c r="A11" t="str">
        <x:v>销售员003</x:v>
      </x:c>
      <x:c r="B11" t="s">
        <x:v>124</x:v>
      </x:c>
      <x:c r="C11">
        <x:v>6</x:v>
      </x:c>
      <x:c r="D11">
        <x:v>0.036</x:v>
      </x:c>
    </x:row>
    <x:row r="12">
      <x:c r="A12" t="str">
        <x:v>销售员003</x:v>
      </x:c>
      <x:c r="B12" t="s">
        <x:v>453</x:v>
      </x:c>
      <x:c r="C12">
        <x:v>1709.7</x:v>
      </x:c>
      <x:c r="D12">
        <x:v>10.381</x:v>
      </x:c>
    </x:row>
    <x:row r="13">
      <x:c r="A13" t="str">
        <x:v>销售员003</x:v>
      </x:c>
      <x:c r="B13" t="s">
        <x:v>109</x:v>
      </x:c>
      <x:c r="C13">
        <x:v>20</x:v>
      </x:c>
      <x:c r="D13">
        <x:v>0.118</x:v>
      </x:c>
    </x:row>
    <x:row r="14">
      <x:c r="A14" t="str">
        <x:v>销售员003</x:v>
      </x:c>
      <x:c r="B14" t="s">
        <x:v>110</x:v>
      </x:c>
      <x:c r="C14">
        <x:v>72</x:v>
      </x:c>
      <x:c r="D14">
        <x:v>0.462</x:v>
      </x:c>
    </x:row>
    <x:row r="15">
      <x:c r="A15" t="str">
        <x:v>销售员003</x:v>
      </x:c>
      <x:c r="B15" t="s">
        <x:v>112</x:v>
      </x:c>
      <x:c r="C15">
        <x:v>2231</x:v>
      </x:c>
      <x:c r="D15">
        <x:v>16.256</x:v>
      </x:c>
    </x:row>
    <x:row r="16">
      <x:c r="A16" t="str">
        <x:v>销售员003</x:v>
      </x:c>
      <x:c r="B16" t="s">
        <x:v>114</x:v>
      </x:c>
      <x:c r="C16">
        <x:v>172</x:v>
      </x:c>
      <x:c r="D16">
        <x:v>1.253</x:v>
      </x:c>
    </x:row>
    <x:row r="17">
      <x:c r="A17" t="str">
        <x:v>销售员003</x:v>
      </x:c>
      <x:c r="B17" t="s">
        <x:v>115</x:v>
      </x:c>
      <x:c r="C17">
        <x:v>852</x:v>
      </x:c>
      <x:c r="D17">
        <x:v>6.208</x:v>
      </x:c>
    </x:row>
    <x:row r="18">
      <x:c r="A18" t="str">
        <x:v>销售员003</x:v>
      </x:c>
      <x:c r="B18" t="s">
        <x:v>116</x:v>
      </x:c>
      <x:c r="C18">
        <x:v>120</x:v>
      </x:c>
      <x:c r="D18">
        <x:v>0.874</x:v>
      </x:c>
    </x:row>
    <x:row r="19">
      <x:c r="A19" t="str">
        <x:v>销售员003</x:v>
      </x:c>
      <x:c r="B19" t="s">
        <x:v>118</x:v>
      </x:c>
      <x:c r="C19">
        <x:v>4396.7</x:v>
      </x:c>
      <x:c r="D19">
        <x:v>26.697</x:v>
      </x:c>
    </x:row>
    <x:row r="20">
      <x:c r="A20" t="str">
        <x:v>销售员003</x:v>
      </x:c>
      <x:c r="B20" t="s">
        <x:v>125</x:v>
      </x:c>
      <x:c r="C20">
        <x:v>23.3</x:v>
      </x:c>
      <x:c r="D20">
        <x:v>0.186</x:v>
      </x:c>
    </x:row>
    <x:row r="21">
      <x:c r="A21" t="str">
        <x:v>销售员003</x:v>
      </x:c>
      <x:c r="B21" t="s">
        <x:v>126</x:v>
      </x:c>
      <x:c r="C21">
        <x:v>103</x:v>
      </x:c>
      <x:c r="D21">
        <x:v>0.613</x:v>
      </x:c>
    </x:row>
    <x:row r="22">
      <x:c r="A22" t="str">
        <x:v>销售员003</x:v>
      </x:c>
      <x:c r="B22" t="s">
        <x:v>128</x:v>
      </x:c>
      <x:c r="C22">
        <x:v>18.3</x:v>
      </x:c>
      <x:c r="D22">
        <x:v>0.111</x:v>
      </x:c>
    </x:row>
    <x:row r="23">
      <x:c r="A23" t="str">
        <x:v>销售员003</x:v>
      </x:c>
      <x:c r="B23" t="s">
        <x:v>129</x:v>
      </x:c>
      <x:c r="C23">
        <x:v>4</x:v>
      </x:c>
      <x:c r="D23">
        <x:v>0.024</x:v>
      </x:c>
    </x:row>
    <x:row r="24">
      <x:c r="A24"/>
      <x:c r="B24" t="s">
        <x:v>133</x:v>
      </x:c>
      <x:c r="C24">
        <x:v>15811.7</x:v>
      </x:c>
      <x:c r="D24">
        <x:v>100.829</x:v>
      </x:c>
    </x:row>
    <x:row r="25">
      <x:c r="A25" t="str">
        <x:v>销售员003</x:v>
      </x:c>
      <x:c r="B25" t="s">
        <x:v>130</x:v>
      </x:c>
      <x:c r="C25">
        <x:v>13</x:v>
      </x:c>
      <x:c r="D25">
        <x:v>0.079</x:v>
      </x:c>
    </x:row>
    <x:row r="26">
      <x:c r="A26" t="str">
        <x:v>销售员003</x:v>
      </x:c>
      <x:c r="B26" t="s">
        <x:v>131</x:v>
      </x:c>
      <x:c r="C26">
        <x:v>92.3</x:v>
      </x:c>
      <x:c r="D26">
        <x:v>0.561</x:v>
      </x:c>
    </x:row>
    <x:row r="27">
      <x:c r="A27" t="str">
        <x:v>销售员003</x:v>
      </x:c>
      <x:c r="B27" t="s">
        <x:v>132</x:v>
      </x:c>
      <x:c r="C27">
        <x:v>88</x:v>
      </x:c>
      <x:c r="D27">
        <x:v>0.534</x:v>
      </x:c>
    </x:row>
    <x:row r="28">
      <x:c r="A28" t="str">
        <x:v>销售员003</x:v>
      </x:c>
      <x:c r="B28" t="s">
        <x:v>454</x:v>
      </x:c>
      <x:c r="C28">
        <x:v>24</x:v>
      </x:c>
      <x:c r="D28">
        <x:v>0.175</x:v>
      </x:c>
    </x:row>
    <x:row r="29">
      <x:c r="A29"/>
      <x:c r="B29" t="s">
        <x:v>133</x:v>
      </x:c>
      <x:c r="C29">
        <x:v>217.3</x:v>
      </x:c>
      <x:c r="D29">
        <x:v>1.349</x:v>
      </x:c>
    </x:row>
    <x:row r="30">
      <x:c r="A30" t="str">
        <x:v>销售员003</x:v>
      </x:c>
      <x:c r="B30" t="s">
        <x:v>133</x:v>
      </x:c>
      <x:c r="C30">
        <x:v>16029</x:v>
      </x:c>
      <x:c r="D30">
        <x:v>102.178</x:v>
      </x:c>
    </x:row>
    <x:row r="31">
      <x:c r="A31" t="s">
        <x:v>122</x:v>
      </x:c>
      <x:c r="B31"/>
      <x:c r="C31"/>
      <x:c r="D31"/>
    </x:row>
    <x:row r="32">
      <x:c r="A32" t="s">
        <x:v>3</x:v>
      </x:c>
      <x:c r="B32" t="s">
        <x:v>88</x:v>
      </x:c>
      <x:c r="C32" t="s">
        <x:v>89</x:v>
      </x:c>
      <x:c r="D32" t="s">
        <x:v>90</x:v>
      </x:c>
    </x:row>
    <x:row r="33">
      <x:c r="A33" t="str">
        <x:v>销售员004</x:v>
      </x:c>
      <x:c r="B33" t="s">
        <x:v>92</x:v>
      </x:c>
      <x:c r="C33">
        <x:v>322</x:v>
      </x:c>
      <x:c r="D33">
        <x:v>1.955</x:v>
      </x:c>
    </x:row>
    <x:row r="34">
      <x:c r="A34" t="str">
        <x:v>销售员004</x:v>
      </x:c>
      <x:c r="B34" t="s">
        <x:v>93</x:v>
      </x:c>
      <x:c r="C34">
        <x:v>846</x:v>
      </x:c>
      <x:c r="D34">
        <x:v>5.425</x:v>
      </x:c>
    </x:row>
    <x:row r="35">
      <x:c r="A35" t="str">
        <x:v>销售员004</x:v>
      </x:c>
      <x:c r="B35" t="s">
        <x:v>95</x:v>
      </x:c>
      <x:c r="C35">
        <x:v>3681.1</x:v>
      </x:c>
      <x:c r="D35">
        <x:v>22.352</x:v>
      </x:c>
    </x:row>
    <x:row r="36">
      <x:c r="A36" t="str">
        <x:v>销售员004</x:v>
      </x:c>
      <x:c r="B36" t="s">
        <x:v>123</x:v>
      </x:c>
      <x:c r="C36">
        <x:v>270</x:v>
      </x:c>
      <x:c r="D36">
        <x:v>1.639</x:v>
      </x:c>
    </x:row>
    <x:row r="37">
      <x:c r="A37" t="str">
        <x:v>销售员004</x:v>
      </x:c>
      <x:c r="B37" t="s">
        <x:v>100</x:v>
      </x:c>
      <x:c r="C37">
        <x:v>407</x:v>
      </x:c>
      <x:c r="D37">
        <x:v>2.61</x:v>
      </x:c>
    </x:row>
    <x:row r="38">
      <x:c r="A38" t="str">
        <x:v>销售员004</x:v>
      </x:c>
      <x:c r="B38" t="s">
        <x:v>107</x:v>
      </x:c>
      <x:c r="C38">
        <x:v>4</x:v>
      </x:c>
      <x:c r="D38">
        <x:v>0.031</x:v>
      </x:c>
    </x:row>
    <x:row r="39">
      <x:c r="A39" t="str">
        <x:v>销售员004</x:v>
      </x:c>
      <x:c r="B39" t="s">
        <x:v>124</x:v>
      </x:c>
      <x:c r="C39">
        <x:v>20</x:v>
      </x:c>
      <x:c r="D39">
        <x:v>0.121</x:v>
      </x:c>
    </x:row>
    <x:row r="40">
      <x:c r="A40" t="str">
        <x:v>销售员004</x:v>
      </x:c>
      <x:c r="B40" t="s">
        <x:v>453</x:v>
      </x:c>
      <x:c r="C40">
        <x:v>2697.8</x:v>
      </x:c>
      <x:c r="D40">
        <x:v>16.381</x:v>
      </x:c>
    </x:row>
    <x:row r="41">
      <x:c r="A41" t="str">
        <x:v>销售员004</x:v>
      </x:c>
      <x:c r="B41" t="s">
        <x:v>109</x:v>
      </x:c>
      <x:c r="C41">
        <x:v>16</x:v>
      </x:c>
      <x:c r="D41">
        <x:v>0.094</x:v>
      </x:c>
    </x:row>
    <x:row r="42">
      <x:c r="A42" t="str">
        <x:v>销售员004</x:v>
      </x:c>
      <x:c r="B42" t="s">
        <x:v>111</x:v>
      </x:c>
      <x:c r="C42">
        <x:v>154</x:v>
      </x:c>
      <x:c r="D42">
        <x:v>0.935</x:v>
      </x:c>
    </x:row>
    <x:row r="43">
      <x:c r="A43" t="str">
        <x:v>销售员004</x:v>
      </x:c>
      <x:c r="B43" t="s">
        <x:v>112</x:v>
      </x:c>
      <x:c r="C43">
        <x:v>1622</x:v>
      </x:c>
      <x:c r="D43">
        <x:v>11.819</x:v>
      </x:c>
    </x:row>
    <x:row r="44">
      <x:c r="A44" t="str">
        <x:v>销售员004</x:v>
      </x:c>
      <x:c r="B44" t="s">
        <x:v>114</x:v>
      </x:c>
      <x:c r="C44">
        <x:v>112</x:v>
      </x:c>
      <x:c r="D44">
        <x:v>0.816</x:v>
      </x:c>
    </x:row>
    <x:row r="45">
      <x:c r="A45" t="str">
        <x:v>销售员004</x:v>
      </x:c>
      <x:c r="B45" t="s">
        <x:v>115</x:v>
      </x:c>
      <x:c r="C45">
        <x:v>1044</x:v>
      </x:c>
      <x:c r="D45">
        <x:v>7.607</x:v>
      </x:c>
    </x:row>
    <x:row r="46">
      <x:c r="A46" t="str">
        <x:v>销售员004</x:v>
      </x:c>
      <x:c r="B46" t="s">
        <x:v>118</x:v>
      </x:c>
      <x:c r="C46">
        <x:v>4477.4</x:v>
      </x:c>
      <x:c r="D46">
        <x:v>27.187</x:v>
      </x:c>
    </x:row>
    <x:row r="47">
      <x:c r="A47" t="str">
        <x:v>销售员004</x:v>
      </x:c>
      <x:c r="B47" t="s">
        <x:v>125</x:v>
      </x:c>
      <x:c r="C47">
        <x:v>8.3</x:v>
      </x:c>
      <x:c r="D47">
        <x:v>0.066</x:v>
      </x:c>
    </x:row>
    <x:row r="48">
      <x:c r="A48" t="str">
        <x:v>销售员004</x:v>
      </x:c>
      <x:c r="B48" t="s">
        <x:v>119</x:v>
      </x:c>
      <x:c r="C48">
        <x:v>2</x:v>
      </x:c>
      <x:c r="D48">
        <x:v>0.012</x:v>
      </x:c>
    </x:row>
    <x:row r="49">
      <x:c r="A49" t="str">
        <x:v>销售员004</x:v>
      </x:c>
      <x:c r="B49" t="s">
        <x:v>126</x:v>
      </x:c>
      <x:c r="C49">
        <x:v>38</x:v>
      </x:c>
      <x:c r="D49">
        <x:v>0.226</x:v>
      </x:c>
    </x:row>
    <x:row r="50">
      <x:c r="A50" t="str">
        <x:v>销售员004</x:v>
      </x:c>
      <x:c r="B50" t="s">
        <x:v>128</x:v>
      </x:c>
      <x:c r="C50">
        <x:v>18.6</x:v>
      </x:c>
      <x:c r="D50">
        <x:v>0.113</x:v>
      </x:c>
    </x:row>
    <x:row r="51">
      <x:c r="A51" t="str">
        <x:v>销售员004</x:v>
      </x:c>
      <x:c r="B51" t="s">
        <x:v>129</x:v>
      </x:c>
      <x:c r="C51">
        <x:v>5</x:v>
      </x:c>
      <x:c r="D51">
        <x:v>0.03</x:v>
      </x:c>
    </x:row>
    <x:row r="52">
      <x:c r="A52" t="str">
        <x:v>销售员004</x:v>
      </x:c>
      <x:c r="B52" t="s">
        <x:v>130</x:v>
      </x:c>
      <x:c r="C52">
        <x:v>6</x:v>
      </x:c>
      <x:c r="D52">
        <x:v>0.036</x:v>
      </x:c>
    </x:row>
    <x:row r="53">
      <x:c r="A53"/>
      <x:c r="B53" t="s">
        <x:v>133</x:v>
      </x:c>
      <x:c r="C53">
        <x:v>15751.2</x:v>
      </x:c>
      <x:c r="D53">
        <x:v>99.455</x:v>
      </x:c>
    </x:row>
    <x:row r="54">
      <x:c r="A54" t="str">
        <x:v>销售员004</x:v>
      </x:c>
      <x:c r="B54" t="s">
        <x:v>131</x:v>
      </x:c>
      <x:c r="C54">
        <x:v>32.1</x:v>
      </x:c>
      <x:c r="D54">
        <x:v>0.195</x:v>
      </x:c>
    </x:row>
    <x:row r="55">
      <x:c r="A55" t="str">
        <x:v>销售员004</x:v>
      </x:c>
      <x:c r="B55" t="s">
        <x:v>132</x:v>
      </x:c>
      <x:c r="C55">
        <x:v>32</x:v>
      </x:c>
      <x:c r="D55">
        <x:v>0.194</x:v>
      </x:c>
    </x:row>
    <x:row r="56">
      <x:c r="A56" t="str">
        <x:v>销售员004</x:v>
      </x:c>
      <x:c r="B56" t="s">
        <x:v>454</x:v>
      </x:c>
      <x:c r="C56">
        <x:v>744</x:v>
      </x:c>
      <x:c r="D56">
        <x:v>5.421</x:v>
      </x:c>
    </x:row>
    <x:row r="57">
      <x:c r="A57"/>
      <x:c r="B57" t="s">
        <x:v>133</x:v>
      </x:c>
      <x:c r="C57">
        <x:v>808.1</x:v>
      </x:c>
      <x:c r="D57">
        <x:v>5.81</x:v>
      </x:c>
    </x:row>
    <x:row r="58">
      <x:c r="A58" t="str">
        <x:v>销售员004</x:v>
      </x:c>
      <x:c r="B58" t="s">
        <x:v>133</x:v>
      </x:c>
      <x:c r="C58">
        <x:v>16559.3</x:v>
      </x:c>
      <x:c r="D58">
        <x:v>105.265</x:v>
      </x:c>
    </x:row>
    <x:row r="59">
      <x:c r="A59" t="s">
        <x:v>122</x:v>
      </x:c>
      <x:c r="B59"/>
      <x:c r="C59"/>
      <x:c r="D59"/>
    </x:row>
    <x:row r="60">
      <x:c r="A60" t="s">
        <x:v>3</x:v>
      </x:c>
      <x:c r="B60" t="s">
        <x:v>88</x:v>
      </x:c>
      <x:c r="C60" t="s">
        <x:v>89</x:v>
      </x:c>
      <x:c r="D60" t="s">
        <x:v>90</x:v>
      </x:c>
    </x:row>
    <x:row r="61">
      <x:c r="A61" t="str">
        <x:v>销售员002</x:v>
      </x:c>
      <x:c r="B61" t="s">
        <x:v>92</x:v>
      </x:c>
      <x:c r="C61">
        <x:v>115</x:v>
      </x:c>
      <x:c r="D61">
        <x:v>0.698</x:v>
      </x:c>
    </x:row>
    <x:row r="62">
      <x:c r="A62" t="str">
        <x:v>销售员002</x:v>
      </x:c>
      <x:c r="B62" t="s">
        <x:v>93</x:v>
      </x:c>
      <x:c r="C62">
        <x:v>791</x:v>
      </x:c>
      <x:c r="D62">
        <x:v>5.072</x:v>
      </x:c>
    </x:row>
    <x:row r="63">
      <x:c r="A63" t="str">
        <x:v>销售员002</x:v>
      </x:c>
      <x:c r="B63" t="s">
        <x:v>95</x:v>
      </x:c>
      <x:c r="C63">
        <x:v>5508.4</x:v>
      </x:c>
      <x:c r="D63">
        <x:v>33.447</x:v>
      </x:c>
    </x:row>
    <x:row r="64">
      <x:c r="A64" t="str">
        <x:v>销售员002</x:v>
      </x:c>
      <x:c r="B64" t="s">
        <x:v>123</x:v>
      </x:c>
      <x:c r="C64">
        <x:v>36</x:v>
      </x:c>
      <x:c r="D64">
        <x:v>0.219</x:v>
      </x:c>
    </x:row>
    <x:row r="65">
      <x:c r="A65" t="str">
        <x:v>销售员002</x:v>
      </x:c>
      <x:c r="B65" t="s">
        <x:v>100</x:v>
      </x:c>
      <x:c r="C65">
        <x:v>11</x:v>
      </x:c>
      <x:c r="D65">
        <x:v>0.071</x:v>
      </x:c>
    </x:row>
    <x:row r="66">
      <x:c r="A66" t="str">
        <x:v>销售员002</x:v>
      </x:c>
      <x:c r="B66" t="s">
        <x:v>107</x:v>
      </x:c>
      <x:c r="C66">
        <x:v>2</x:v>
      </x:c>
      <x:c r="D66">
        <x:v>0.016</x:v>
      </x:c>
    </x:row>
    <x:row r="67">
      <x:c r="A67" t="str">
        <x:v>销售员002</x:v>
      </x:c>
      <x:c r="B67" t="s">
        <x:v>453</x:v>
      </x:c>
      <x:c r="C67">
        <x:v>1990.2</x:v>
      </x:c>
      <x:c r="D67">
        <x:v>12.084</x:v>
      </x:c>
    </x:row>
    <x:row r="68">
      <x:c r="A68" t="str">
        <x:v>销售员002</x:v>
      </x:c>
      <x:c r="B68" t="s">
        <x:v>109</x:v>
      </x:c>
      <x:c r="C68">
        <x:v>10</x:v>
      </x:c>
      <x:c r="D68">
        <x:v>0.059</x:v>
      </x:c>
    </x:row>
    <x:row r="69">
      <x:c r="A69" t="str">
        <x:v>销售员002</x:v>
      </x:c>
      <x:c r="B69" t="s">
        <x:v>112</x:v>
      </x:c>
      <x:c r="C69">
        <x:v>1064</x:v>
      </x:c>
      <x:c r="D69">
        <x:v>7.753</x:v>
      </x:c>
    </x:row>
    <x:row r="70">
      <x:c r="A70" t="str">
        <x:v>销售员002</x:v>
      </x:c>
      <x:c r="B70" t="s">
        <x:v>114</x:v>
      </x:c>
      <x:c r="C70">
        <x:v>168</x:v>
      </x:c>
      <x:c r="D70">
        <x:v>1.224</x:v>
      </x:c>
    </x:row>
    <x:row r="71">
      <x:c r="A71" t="str">
        <x:v>销售员002</x:v>
      </x:c>
      <x:c r="B71" t="s">
        <x:v>115</x:v>
      </x:c>
      <x:c r="C71">
        <x:v>760</x:v>
      </x:c>
      <x:c r="D71">
        <x:v>5.538</x:v>
      </x:c>
    </x:row>
    <x:row r="72">
      <x:c r="A72" t="str">
        <x:v>销售员002</x:v>
      </x:c>
      <x:c r="B72" t="s">
        <x:v>118</x:v>
      </x:c>
      <x:c r="C72">
        <x:v>2805</x:v>
      </x:c>
      <x:c r="D72">
        <x:v>17.032</x:v>
      </x:c>
    </x:row>
    <x:row r="73">
      <x:c r="A73" t="str">
        <x:v>销售员002</x:v>
      </x:c>
      <x:c r="B73" t="s">
        <x:v>125</x:v>
      </x:c>
      <x:c r="C73">
        <x:v>6</x:v>
      </x:c>
      <x:c r="D73">
        <x:v>0.048</x:v>
      </x:c>
    </x:row>
    <x:row r="74">
      <x:c r="A74" t="str">
        <x:v>销售员002</x:v>
      </x:c>
      <x:c r="B74" t="s">
        <x:v>119</x:v>
      </x:c>
      <x:c r="C74">
        <x:v>10.3</x:v>
      </x:c>
      <x:c r="D74">
        <x:v>0.063</x:v>
      </x:c>
    </x:row>
    <x:row r="75">
      <x:c r="A75" t="str">
        <x:v>销售员002</x:v>
      </x:c>
      <x:c r="B75" t="s">
        <x:v>126</x:v>
      </x:c>
      <x:c r="C75">
        <x:v>82</x:v>
      </x:c>
      <x:c r="D75">
        <x:v>0.488</x:v>
      </x:c>
    </x:row>
    <x:row r="76">
      <x:c r="A76" t="str">
        <x:v>销售员002</x:v>
      </x:c>
      <x:c r="B76" t="s">
        <x:v>128</x:v>
      </x:c>
      <x:c r="C76">
        <x:v>33.1</x:v>
      </x:c>
      <x:c r="D76">
        <x:v>0.201</x:v>
      </x:c>
    </x:row>
    <x:row r="77">
      <x:c r="A77" t="str">
        <x:v>销售员002</x:v>
      </x:c>
      <x:c r="B77" t="s">
        <x:v>129</x:v>
      </x:c>
      <x:c r="C77">
        <x:v>4</x:v>
      </x:c>
      <x:c r="D77">
        <x:v>0.024</x:v>
      </x:c>
    </x:row>
    <x:row r="78">
      <x:c r="A78" t="str">
        <x:v>销售员002</x:v>
      </x:c>
      <x:c r="B78" t="s">
        <x:v>130</x:v>
      </x:c>
      <x:c r="C78">
        <x:v>10</x:v>
      </x:c>
      <x:c r="D78">
        <x:v>0.061</x:v>
      </x:c>
    </x:row>
    <x:row r="79">
      <x:c r="A79" t="str">
        <x:v>销售员002</x:v>
      </x:c>
      <x:c r="B79" t="s">
        <x:v>131</x:v>
      </x:c>
      <x:c r="C79">
        <x:v>87.2</x:v>
      </x:c>
      <x:c r="D79">
        <x:v>0.529</x:v>
      </x:c>
    </x:row>
    <x:row r="80">
      <x:c r="A80" t="str">
        <x:v>销售员002</x:v>
      </x:c>
      <x:c r="B80" t="s">
        <x:v>132</x:v>
      </x:c>
      <x:c r="C80">
        <x:v>46</x:v>
      </x:c>
      <x:c r="D80">
        <x:v>0.279</x:v>
      </x:c>
    </x:row>
    <x:row r="81">
      <x:c r="A81" t="str">
        <x:v>销售员002</x:v>
      </x:c>
      <x:c r="B81" t="s">
        <x:v>133</x:v>
      </x:c>
      <x:c r="C81">
        <x:v>13539.2</x:v>
      </x:c>
      <x:c r="D81">
        <x:v>84.906</x:v>
      </x:c>
    </x:row>
    <x:row r="82">
      <x:c r="A82" t="s">
        <x:v>121</x:v>
      </x:c>
      <x:c r="B82"/>
      <x:c r="C82"/>
      <x:c r="D82"/>
    </x:row>
    <x:row r="83">
      <x:c r="A83" t="s">
        <x:v>122</x:v>
      </x:c>
      <x:c r="B83"/>
      <x:c r="C83"/>
      <x:c r="D83"/>
    </x:row>
    <x:row r="84">
      <x:c r="A84" t="s">
        <x:v>3</x:v>
      </x:c>
      <x:c r="B84" t="s">
        <x:v>88</x:v>
      </x:c>
      <x:c r="C84" t="s">
        <x:v>89</x:v>
      </x:c>
      <x:c r="D84" t="s">
        <x:v>90</x:v>
      </x:c>
    </x:row>
    <x:row r="85">
      <x:c r="A85" t="str">
        <x:v>销售员001</x:v>
      </x:c>
      <x:c r="B85" t="s">
        <x:v>93</x:v>
      </x:c>
      <x:c r="C85">
        <x:v>975</x:v>
      </x:c>
      <x:c r="D85">
        <x:v>6.252</x:v>
      </x:c>
    </x:row>
    <x:row r="86">
      <x:c r="A86" t="str">
        <x:v>销售员001</x:v>
      </x:c>
      <x:c r="B86" t="s">
        <x:v>95</x:v>
      </x:c>
      <x:c r="C86">
        <x:v>3361.3</x:v>
      </x:c>
      <x:c r="D86">
        <x:v>20.41</x:v>
      </x:c>
    </x:row>
    <x:row r="87">
      <x:c r="A87" t="str">
        <x:v>销售员001</x:v>
      </x:c>
      <x:c r="B87" t="s">
        <x:v>100</x:v>
      </x:c>
      <x:c r="C87">
        <x:v>130</x:v>
      </x:c>
      <x:c r="D87">
        <x:v>0.834</x:v>
      </x:c>
    </x:row>
    <x:row r="88">
      <x:c r="A88" t="str">
        <x:v>销售员001</x:v>
      </x:c>
      <x:c r="B88" t="s">
        <x:v>453</x:v>
      </x:c>
      <x:c r="C88">
        <x:v>1577.7</x:v>
      </x:c>
      <x:c r="D88">
        <x:v>9.58</x:v>
      </x:c>
    </x:row>
    <x:row r="89">
      <x:c r="A89" t="str">
        <x:v>销售员001</x:v>
      </x:c>
      <x:c r="B89" t="s">
        <x:v>109</x:v>
      </x:c>
      <x:c r="C89">
        <x:v>44</x:v>
      </x:c>
      <x:c r="D89">
        <x:v>0.259</x:v>
      </x:c>
    </x:row>
    <x:row r="90">
      <x:c r="A90" t="str">
        <x:v>销售员001</x:v>
      </x:c>
      <x:c r="B90" t="s">
        <x:v>112</x:v>
      </x:c>
      <x:c r="C90">
        <x:v>1796</x:v>
      </x:c>
      <x:c r="D90">
        <x:v>13.087</x:v>
      </x:c>
    </x:row>
    <x:row r="91">
      <x:c r="A91" t="str">
        <x:v>销售员001</x:v>
      </x:c>
      <x:c r="B91" t="s">
        <x:v>114</x:v>
      </x:c>
      <x:c r="C91">
        <x:v>504</x:v>
      </x:c>
      <x:c r="D91">
        <x:v>3.672</x:v>
      </x:c>
    </x:row>
    <x:row r="92">
      <x:c r="A92" t="str">
        <x:v>销售员001</x:v>
      </x:c>
      <x:c r="B92" t="s">
        <x:v>115</x:v>
      </x:c>
      <x:c r="C92">
        <x:v>228</x:v>
      </x:c>
      <x:c r="D92">
        <x:v>1.661</x:v>
      </x:c>
    </x:row>
    <x:row r="93">
      <x:c r="A93" t="str">
        <x:v>销售员001</x:v>
      </x:c>
      <x:c r="B93" t="s">
        <x:v>118</x:v>
      </x:c>
      <x:c r="C93">
        <x:v>5748.7</x:v>
      </x:c>
      <x:c r="D93">
        <x:v>34.906</x:v>
      </x:c>
    </x:row>
    <x:row r="94">
      <x:c r="A94" t="str">
        <x:v>销售员001</x:v>
      </x:c>
      <x:c r="B94" t="s">
        <x:v>125</x:v>
      </x:c>
      <x:c r="C94">
        <x:v>6.3</x:v>
      </x:c>
      <x:c r="D94">
        <x:v>0.05</x:v>
      </x:c>
    </x:row>
    <x:row r="95">
      <x:c r="A95" t="str">
        <x:v>销售员001</x:v>
      </x:c>
      <x:c r="B95" t="s">
        <x:v>119</x:v>
      </x:c>
      <x:c r="C95">
        <x:v>2.2</x:v>
      </x:c>
      <x:c r="D95">
        <x:v>0.013</x:v>
      </x:c>
    </x:row>
    <x:row r="96">
      <x:c r="A96" t="str">
        <x:v>销售员001</x:v>
      </x:c>
      <x:c r="B96" t="s">
        <x:v>126</x:v>
      </x:c>
      <x:c r="C96">
        <x:v>45</x:v>
      </x:c>
      <x:c r="D96">
        <x:v>0.268</x:v>
      </x:c>
    </x:row>
    <x:row r="97">
      <x:c r="A97" t="str">
        <x:v>销售员001</x:v>
      </x:c>
      <x:c r="B97" t="s">
        <x:v>127</x:v>
      </x:c>
      <x:c r="C97">
        <x:v>1</x:v>
      </x:c>
      <x:c r="D97">
        <x:v>0.006</x:v>
      </x:c>
    </x:row>
    <x:row r="98">
      <x:c r="A98" t="str">
        <x:v>销售员001</x:v>
      </x:c>
      <x:c r="B98" t="s">
        <x:v>128</x:v>
      </x:c>
      <x:c r="C98">
        <x:v>19.7</x:v>
      </x:c>
      <x:c r="D98">
        <x:v>0.119</x:v>
      </x:c>
    </x:row>
    <x:row r="99">
      <x:c r="A99" t="str">
        <x:v>销售员001</x:v>
      </x:c>
      <x:c r="B99" t="s">
        <x:v>129</x:v>
      </x:c>
      <x:c r="C99">
        <x:v>36</x:v>
      </x:c>
      <x:c r="D99">
        <x:v>0.219</x:v>
      </x:c>
    </x:row>
    <x:row r="100">
      <x:c r="A100" t="str">
        <x:v>销售员001</x:v>
      </x:c>
      <x:c r="B100" t="s">
        <x:v>130</x:v>
      </x:c>
      <x:c r="C100">
        <x:v>7</x:v>
      </x:c>
      <x:c r="D100">
        <x:v>0.043</x:v>
      </x:c>
    </x:row>
    <x:row r="101">
      <x:c r="A101" t="str">
        <x:v>销售员001</x:v>
      </x:c>
      <x:c r="B101" t="s">
        <x:v>131</x:v>
      </x:c>
      <x:c r="C101">
        <x:v>43</x:v>
      </x:c>
      <x:c r="D101">
        <x:v>0.261</x:v>
      </x:c>
    </x:row>
    <x:row r="102">
      <x:c r="A102" t="str">
        <x:v>销售员001</x:v>
      </x:c>
      <x:c r="B102" t="s">
        <x:v>132</x:v>
      </x:c>
      <x:c r="C102">
        <x:v>14</x:v>
      </x:c>
      <x:c r="D102">
        <x:v>0.085</x:v>
      </x:c>
    </x:row>
    <x:row r="103">
      <x:c r="A103" t="str">
        <x:v>销售员001</x:v>
      </x:c>
      <x:c r="B103" t="s">
        <x:v>454</x:v>
      </x:c>
      <x:c r="C103">
        <x:v>192</x:v>
      </x:c>
      <x:c r="D103">
        <x:v>1.399</x:v>
      </x:c>
    </x:row>
    <x:row r="104">
      <x:c r="A104" t="str">
        <x:v>销售员001</x:v>
      </x:c>
      <x:c r="B104" t="s">
        <x:v>133</x:v>
      </x:c>
      <x:c r="C104">
        <x:v>14730.9</x:v>
      </x:c>
      <x:c r="D104">
        <x:v>93.124</x:v>
      </x:c>
    </x:row>
    <x:row r="105">
      <x:c r="A105" t="s">
        <x:v>121</x:v>
      </x:c>
      <x:c r="B105"/>
      <x:c r="C105"/>
      <x:c r="D105"/>
    </x:row>
    <x:row r="106">
      <x:c r="A106" t="s">
        <x:v>122</x:v>
      </x:c>
      <x:c r="B106"/>
      <x:c r="C106"/>
      <x:c r="D106"/>
    </x:row>
    <x:row r="107">
      <x:c r="A107" t="s">
        <x:v>3</x:v>
      </x:c>
      <x:c r="B107" t="s">
        <x:v>88</x:v>
      </x:c>
      <x:c r="C107" t="s">
        <x:v>89</x:v>
      </x:c>
      <x:c r="D107" t="s">
        <x:v>90</x:v>
      </x:c>
    </x:row>
    <x:row r="108">
      <x:c r="A108" t="str">
        <x:v>销售员006</x:v>
      </x:c>
      <x:c r="B108" t="s">
        <x:v>93</x:v>
      </x:c>
      <x:c r="C108">
        <x:v>2888</x:v>
      </x:c>
      <x:c r="D108">
        <x:v>18.518</x:v>
      </x:c>
    </x:row>
    <x:row r="109">
      <x:c r="A109" t="str">
        <x:v>销售员006</x:v>
      </x:c>
      <x:c r="B109" t="s">
        <x:v>95</x:v>
      </x:c>
      <x:c r="C109">
        <x:v>205</x:v>
      </x:c>
      <x:c r="D109">
        <x:v>1.245</x:v>
      </x:c>
    </x:row>
    <x:row r="110">
      <x:c r="A110" t="str">
        <x:v>销售员006</x:v>
      </x:c>
      <x:c r="B110" t="s">
        <x:v>103</x:v>
      </x:c>
      <x:c r="C110">
        <x:v>25</x:v>
      </x:c>
      <x:c r="D110">
        <x:v>0.144</x:v>
      </x:c>
    </x:row>
    <x:row r="111">
      <x:c r="A111" t="str">
        <x:v>销售员006</x:v>
      </x:c>
      <x:c r="B111" t="s">
        <x:v>124</x:v>
      </x:c>
      <x:c r="C111">
        <x:v>250</x:v>
      </x:c>
      <x:c r="D111">
        <x:v>1.518</x:v>
      </x:c>
    </x:row>
    <x:row r="112">
      <x:c r="A112" t="str">
        <x:v>销售员006</x:v>
      </x:c>
      <x:c r="B112" t="s">
        <x:v>109</x:v>
      </x:c>
      <x:c r="C112">
        <x:v>309.7</x:v>
      </x:c>
      <x:c r="D112">
        <x:v>1.824</x:v>
      </x:c>
    </x:row>
    <x:row r="113">
      <x:c r="A113" t="str">
        <x:v>销售员006</x:v>
      </x:c>
      <x:c r="B113" t="s">
        <x:v>110</x:v>
      </x:c>
      <x:c r="C113">
        <x:v>48</x:v>
      </x:c>
      <x:c r="D113">
        <x:v>0.308</x:v>
      </x:c>
    </x:row>
    <x:row r="114">
      <x:c r="A114" t="str">
        <x:v>销售员006</x:v>
      </x:c>
      <x:c r="B114" t="s">
        <x:v>111</x:v>
      </x:c>
      <x:c r="C114">
        <x:v>324</x:v>
      </x:c>
      <x:c r="D114">
        <x:v>1.967</x:v>
      </x:c>
    </x:row>
    <x:row r="115">
      <x:c r="A115" t="str">
        <x:v>销售员006</x:v>
      </x:c>
      <x:c r="B115" t="s">
        <x:v>112</x:v>
      </x:c>
      <x:c r="C115">
        <x:v>24</x:v>
      </x:c>
      <x:c r="D115">
        <x:v>0.175</x:v>
      </x:c>
    </x:row>
    <x:row r="116">
      <x:c r="A116" t="str">
        <x:v>销售员006</x:v>
      </x:c>
      <x:c r="B116" t="s">
        <x:v>114</x:v>
      </x:c>
      <x:c r="C116">
        <x:v>42</x:v>
      </x:c>
      <x:c r="D116">
        <x:v>0.306</x:v>
      </x:c>
    </x:row>
    <x:row r="117">
      <x:c r="A117" t="str">
        <x:v>销售员006</x:v>
      </x:c>
      <x:c r="B117" t="s">
        <x:v>118</x:v>
      </x:c>
      <x:c r="C117">
        <x:v>20</x:v>
      </x:c>
      <x:c r="D117">
        <x:v>0.121</x:v>
      </x:c>
    </x:row>
    <x:row r="118">
      <x:c r="A118" t="str">
        <x:v>销售员006</x:v>
      </x:c>
      <x:c r="B118" t="s">
        <x:v>125</x:v>
      </x:c>
      <x:c r="C118">
        <x:v>31.3</x:v>
      </x:c>
      <x:c r="D118">
        <x:v>0.25</x:v>
      </x:c>
    </x:row>
    <x:row r="119">
      <x:c r="A119" t="str">
        <x:v>销售员006</x:v>
      </x:c>
      <x:c r="B119" t="s">
        <x:v>129</x:v>
      </x:c>
      <x:c r="C119">
        <x:v>201</x:v>
      </x:c>
      <x:c r="D119">
        <x:v>1.22</x:v>
      </x:c>
    </x:row>
    <x:row r="120">
      <x:c r="A120" t="str">
        <x:v>销售员006</x:v>
      </x:c>
      <x:c r="B120" t="s">
        <x:v>455</x:v>
      </x:c>
      <x:c r="C120">
        <x:v>50</x:v>
      </x:c>
      <x:c r="D120">
        <x:v>0.298</x:v>
      </x:c>
    </x:row>
    <x:row r="121">
      <x:c r="A121" t="str">
        <x:v>销售员006</x:v>
      </x:c>
      <x:c r="B121" t="s">
        <x:v>133</x:v>
      </x:c>
      <x:c r="C121">
        <x:v>4418</x:v>
      </x:c>
      <x:c r="D121">
        <x:v>27.894</x:v>
      </x:c>
    </x:row>
    <x:row r="122">
      <x:c r="A122" t="s">
        <x:v>121</x:v>
      </x:c>
      <x:c r="B122"/>
      <x:c r="C122"/>
      <x:c r="D122"/>
    </x:row>
    <x:row r="123">
      <x:c r="A123" t="s">
        <x:v>122</x:v>
      </x:c>
      <x:c r="B123"/>
      <x:c r="C123"/>
      <x:c r="D123"/>
    </x:row>
    <x:row r="124">
      <x:c r="A124" t="s">
        <x:v>3</x:v>
      </x:c>
      <x:c r="B124" t="s">
        <x:v>88</x:v>
      </x:c>
      <x:c r="C124" t="s">
        <x:v>89</x:v>
      </x:c>
      <x:c r="D124" t="s">
        <x:v>90</x:v>
      </x:c>
    </x:row>
    <x:row r="125">
      <x:c r="A125" t="str">
        <x:v>销售员005</x:v>
      </x:c>
      <x:c r="B125" t="s">
        <x:v>92</x:v>
      </x:c>
      <x:c r="C125">
        <x:v>23</x:v>
      </x:c>
      <x:c r="D125">
        <x:v>0.14</x:v>
      </x:c>
    </x:row>
    <x:row r="126">
      <x:c r="A126" t="str">
        <x:v>销售员005</x:v>
      </x:c>
      <x:c r="B126" t="s">
        <x:v>93</x:v>
      </x:c>
      <x:c r="C126">
        <x:v>4038</x:v>
      </x:c>
      <x:c r="D126">
        <x:v>25.892</x:v>
      </x:c>
    </x:row>
    <x:row r="127">
      <x:c r="A127" t="str">
        <x:v>销售员005</x:v>
      </x:c>
      <x:c r="B127" t="s">
        <x:v>95</x:v>
      </x:c>
      <x:c r="C127">
        <x:v>348.8</x:v>
      </x:c>
      <x:c r="D127">
        <x:v>2.118</x:v>
      </x:c>
    </x:row>
    <x:row r="128">
      <x:c r="A128" t="str">
        <x:v>销售员005</x:v>
      </x:c>
      <x:c r="B128" t="s">
        <x:v>99</x:v>
      </x:c>
      <x:c r="C128">
        <x:v>193</x:v>
      </x:c>
      <x:c r="D128">
        <x:v>1.406</x:v>
      </x:c>
    </x:row>
    <x:row r="129">
      <x:c r="A129" t="str">
        <x:v>销售员005</x:v>
      </x:c>
      <x:c r="B129" t="s">
        <x:v>103</x:v>
      </x:c>
      <x:c r="C129">
        <x:v>22</x:v>
      </x:c>
      <x:c r="D129">
        <x:v>0.127</x:v>
      </x:c>
    </x:row>
    <x:row r="130">
      <x:c r="A130" t="str">
        <x:v>销售员005</x:v>
      </x:c>
      <x:c r="B130" t="s">
        <x:v>107</x:v>
      </x:c>
      <x:c r="C130">
        <x:v>140</x:v>
      </x:c>
      <x:c r="D130">
        <x:v>1.088</x:v>
      </x:c>
    </x:row>
    <x:row r="131">
      <x:c r="A131" t="str">
        <x:v>销售员005</x:v>
      </x:c>
      <x:c r="B131" t="s">
        <x:v>453</x:v>
      </x:c>
      <x:c r="C131">
        <x:v>446</x:v>
      </x:c>
      <x:c r="D131">
        <x:v>2.708</x:v>
      </x:c>
    </x:row>
    <x:row r="132">
      <x:c r="A132" t="str">
        <x:v>销售员005</x:v>
      </x:c>
      <x:c r="B132" t="s">
        <x:v>109</x:v>
      </x:c>
      <x:c r="C132">
        <x:v>623.3</x:v>
      </x:c>
      <x:c r="D132">
        <x:v>3.671</x:v>
      </x:c>
    </x:row>
    <x:row r="133">
      <x:c r="A133" t="str">
        <x:v>销售员005</x:v>
      </x:c>
      <x:c r="B133" t="s">
        <x:v>110</x:v>
      </x:c>
      <x:c r="C133">
        <x:v>240</x:v>
      </x:c>
      <x:c r="D133">
        <x:v>1.539</x:v>
      </x:c>
    </x:row>
    <x:row r="134">
      <x:c r="A134" t="str">
        <x:v>销售员005</x:v>
      </x:c>
      <x:c r="B134" t="s">
        <x:v>111</x:v>
      </x:c>
      <x:c r="C134">
        <x:v>36</x:v>
      </x:c>
      <x:c r="D134">
        <x:v>0.219</x:v>
      </x:c>
    </x:row>
    <x:row r="135">
      <x:c r="A135" t="str">
        <x:v>销售员005</x:v>
      </x:c>
      <x:c r="B135" t="s">
        <x:v>112</x:v>
      </x:c>
      <x:c r="C135">
        <x:v>242</x:v>
      </x:c>
      <x:c r="D135">
        <x:v>1.763</x:v>
      </x:c>
    </x:row>
    <x:row r="136">
      <x:c r="A136" t="str">
        <x:v>销售员005</x:v>
      </x:c>
      <x:c r="B136" t="s">
        <x:v>114</x:v>
      </x:c>
      <x:c r="C136">
        <x:v>192</x:v>
      </x:c>
      <x:c r="D136">
        <x:v>1.399</x:v>
      </x:c>
    </x:row>
    <x:row r="137">
      <x:c r="A137" t="str">
        <x:v>销售员005</x:v>
      </x:c>
      <x:c r="B137" t="s">
        <x:v>116</x:v>
      </x:c>
      <x:c r="C137">
        <x:v>160</x:v>
      </x:c>
      <x:c r="D137">
        <x:v>1.166</x:v>
      </x:c>
    </x:row>
    <x:row r="138">
      <x:c r="A138" t="str">
        <x:v>销售员005</x:v>
      </x:c>
      <x:c r="B138" t="s">
        <x:v>118</x:v>
      </x:c>
      <x:c r="C138">
        <x:v>3.2</x:v>
      </x:c>
      <x:c r="D138">
        <x:v>0.019</x:v>
      </x:c>
    </x:row>
    <x:row r="139">
      <x:c r="A139" t="str">
        <x:v>销售员005</x:v>
      </x:c>
      <x:c r="B139" t="s">
        <x:v>125</x:v>
      </x:c>
      <x:c r="C139">
        <x:v>60.8</x:v>
      </x:c>
      <x:c r="D139">
        <x:v>0.487</x:v>
      </x:c>
    </x:row>
    <x:row r="140">
      <x:c r="A140" t="str">
        <x:v>销售员005</x:v>
      </x:c>
      <x:c r="B140" t="s">
        <x:v>119</x:v>
      </x:c>
      <x:c r="C140">
        <x:v>0.1</x:v>
      </x:c>
      <x:c r="D140">
        <x:v>0.001</x:v>
      </x:c>
    </x:row>
    <x:row r="141">
      <x:c r="A141" t="str">
        <x:v>销售员005</x:v>
      </x:c>
      <x:c r="B141" t="s">
        <x:v>126</x:v>
      </x:c>
      <x:c r="C141">
        <x:v>4</x:v>
      </x:c>
      <x:c r="D141">
        <x:v>0.024</x:v>
      </x:c>
    </x:row>
    <x:row r="142">
      <x:c r="A142" t="str">
        <x:v>销售员005</x:v>
      </x:c>
      <x:c r="B142" t="s">
        <x:v>129</x:v>
      </x:c>
      <x:c r="C142">
        <x:v>400</x:v>
      </x:c>
      <x:c r="D142">
        <x:v>2.429</x:v>
      </x:c>
    </x:row>
    <x:row r="143">
      <x:c r="A143" t="str">
        <x:v>销售员005</x:v>
      </x:c>
      <x:c r="B143" t="s">
        <x:v>132</x:v>
      </x:c>
      <x:c r="C143">
        <x:v>2</x:v>
      </x:c>
      <x:c r="D143">
        <x:v>0.012</x:v>
      </x:c>
    </x:row>
    <x:row r="144">
      <x:c r="A144" t="str">
        <x:v>销售员005</x:v>
      </x:c>
      <x:c r="B144" t="s">
        <x:v>455</x:v>
      </x:c>
      <x:c r="C144">
        <x:v>122</x:v>
      </x:c>
      <x:c r="D144">
        <x:v>0.726</x:v>
      </x:c>
    </x:row>
    <x:row r="145">
      <x:c r="A145" t="str">
        <x:v>销售员005</x:v>
      </x:c>
      <x:c r="B145" t="s">
        <x:v>133</x:v>
      </x:c>
      <x:c r="C145">
        <x:v>7296.2</x:v>
      </x:c>
      <x:c r="D145">
        <x:v>46.934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13.380000114440918" hidden="0" customWidth="1"/>
    <x:col min="2" max="2" width="37.880001068115234" hidden="0" customWidth="1"/>
    <x:col min="3" max="3" width="9" hidden="0" customWidth="1"/>
    <x:col min="4" max="4" width="9" hidden="0" customWidth="1"/>
    <x:col min="7" max="7" width="7.5" hidden="0" customWidth="1"/>
  </x:cols>
  <x:sheetData>
    <x:row r="1">
      <x:c r="A1" t="s">
        <x:v>121</x:v>
      </x:c>
      <x:c r="B1"/>
      <x:c r="C1"/>
      <x:c r="D1"/>
      <x:c r="E1"/>
      <x:c r="F1"/>
      <x:c r="G1" t="n">
        <x:f>C128</x:f>
        <x:v>147660.4</x:v>
      </x:c>
    </x:row>
    <x:row r="2">
      <x:c r="A2" t="s">
        <x:v>122</x:v>
      </x:c>
      <x:c r="B2"/>
      <x:c r="C2"/>
      <x:c r="D2"/>
      <x:c r="E2"/>
      <x:c r="F2"/>
      <x:c r="G2"/>
    </x:row>
    <x:row r="3">
      <x:c r="A3" t="s">
        <x:v>3</x:v>
      </x:c>
      <x:c r="B3" t="s">
        <x:v>88</x:v>
      </x:c>
      <x:c r="C3" t="s">
        <x:v>89</x:v>
      </x:c>
      <x:c r="D3" t="s">
        <x:v>90</x:v>
      </x:c>
      <x:c r="E3"/>
      <x:c r="F3"/>
      <x:c r="G3"/>
    </x:row>
    <x:row r="4">
      <x:c r="A4" t="str">
        <x:v>销售员003</x:v>
      </x:c>
      <x:c r="B4" t="s">
        <x:v>93</x:v>
      </x:c>
      <x:c r="C4">
        <x:v>721</x:v>
      </x:c>
      <x:c r="D4">
        <x:v>4.623</x:v>
      </x:c>
      <x:c r="E4"/>
      <x:c r="F4"/>
      <x:c r="G4"/>
    </x:row>
    <x:row r="5">
      <x:c r="A5" t="str">
        <x:v>销售员003</x:v>
      </x:c>
      <x:c r="B5" t="s">
        <x:v>95</x:v>
      </x:c>
      <x:c r="C5">
        <x:v>7998.4</x:v>
      </x:c>
      <x:c r="D5">
        <x:v>48.566</x:v>
      </x:c>
      <x:c r="E5"/>
      <x:c r="F5"/>
      <x:c r="G5"/>
    </x:row>
    <x:row r="6">
      <x:c r="A6" t="str">
        <x:v>销售员003</x:v>
      </x:c>
      <x:c r="B6" t="s">
        <x:v>99</x:v>
      </x:c>
      <x:c r="C6">
        <x:v>150</x:v>
      </x:c>
      <x:c r="D6">
        <x:v>1.093</x:v>
      </x:c>
      <x:c r="E6"/>
      <x:c r="F6"/>
      <x:c r="G6"/>
    </x:row>
    <x:row r="7">
      <x:c r="A7" t="str">
        <x:v>销售员003</x:v>
      </x:c>
      <x:c r="B7" t="s">
        <x:v>100</x:v>
      </x:c>
      <x:c r="C7">
        <x:v>310</x:v>
      </x:c>
      <x:c r="D7">
        <x:v>1.988</x:v>
      </x:c>
      <x:c r="E7"/>
      <x:c r="F7"/>
      <x:c r="G7"/>
    </x:row>
    <x:row r="8">
      <x:c r="A8" t="str">
        <x:v>销售员003</x:v>
      </x:c>
      <x:c r="B8" t="s">
        <x:v>106</x:v>
      </x:c>
      <x:c r="C8">
        <x:v>85</x:v>
      </x:c>
      <x:c r="D8">
        <x:v>0.578</x:v>
      </x:c>
      <x:c r="E8"/>
      <x:c r="F8"/>
      <x:c r="G8"/>
    </x:row>
    <x:row r="9">
      <x:c r="A9" t="str">
        <x:v>销售员003</x:v>
      </x:c>
      <x:c r="B9" t="s">
        <x:v>107</x:v>
      </x:c>
      <x:c r="C9">
        <x:v>51</x:v>
      </x:c>
      <x:c r="D9">
        <x:v>0.396</x:v>
      </x:c>
      <x:c r="E9"/>
      <x:c r="F9"/>
      <x:c r="G9"/>
    </x:row>
    <x:row r="10">
      <x:c r="A10" t="str">
        <x:v>销售员003</x:v>
      </x:c>
      <x:c r="B10" t="s">
        <x:v>108</x:v>
      </x:c>
      <x:c r="C10">
        <x:v>46</x:v>
      </x:c>
      <x:c r="D10">
        <x:v>0.279</x:v>
      </x:c>
      <x:c r="E10"/>
      <x:c r="F10"/>
      <x:c r="G10"/>
    </x:row>
    <x:row r="11">
      <x:c r="A11" t="str">
        <x:v>销售员003</x:v>
      </x:c>
      <x:c r="B11" t="s">
        <x:v>109</x:v>
      </x:c>
      <x:c r="C11">
        <x:v>31</x:v>
      </x:c>
      <x:c r="D11">
        <x:v>0.183</x:v>
      </x:c>
      <x:c r="E11"/>
      <x:c r="F11"/>
      <x:c r="G11"/>
    </x:row>
    <x:row r="12">
      <x:c r="A12" t="str">
        <x:v>销售员003</x:v>
      </x:c>
      <x:c r="B12" t="s">
        <x:v>112</x:v>
      </x:c>
      <x:c r="C12">
        <x:v>1708</x:v>
      </x:c>
      <x:c r="D12">
        <x:v>12.445</x:v>
      </x:c>
      <x:c r="E12"/>
      <x:c r="F12"/>
      <x:c r="G12"/>
    </x:row>
    <x:row r="13">
      <x:c r="A13" t="str">
        <x:v>销售员003</x:v>
      </x:c>
      <x:c r="B13" t="s">
        <x:v>115</x:v>
      </x:c>
      <x:c r="C13">
        <x:v>198</x:v>
      </x:c>
      <x:c r="D13">
        <x:v>1.443</x:v>
      </x:c>
      <x:c r="E13"/>
      <x:c r="F13"/>
      <x:c r="G13"/>
    </x:row>
    <x:row r="14">
      <x:c r="A14" t="str">
        <x:v>销售员003</x:v>
      </x:c>
      <x:c r="B14" t="s">
        <x:v>117</x:v>
      </x:c>
      <x:c r="C14">
        <x:v>252</x:v>
      </x:c>
      <x:c r="D14">
        <x:v>1.53</x:v>
      </x:c>
      <x:c r="E14"/>
      <x:c r="F14"/>
      <x:c r="G14"/>
    </x:row>
    <x:row r="15">
      <x:c r="A15" t="str">
        <x:v>销售员003</x:v>
      </x:c>
      <x:c r="B15" t="s">
        <x:v>118</x:v>
      </x:c>
      <x:c r="C15">
        <x:v>2286</x:v>
      </x:c>
      <x:c r="D15">
        <x:v>13.881</x:v>
      </x:c>
      <x:c r="E15"/>
      <x:c r="F15"/>
      <x:c r="G15"/>
    </x:row>
    <x:row r="16">
      <x:c r="A16" t="str">
        <x:v>销售员003</x:v>
      </x:c>
      <x:c r="B16" t="s">
        <x:v>119</x:v>
      </x:c>
      <x:c r="C16">
        <x:v>35</x:v>
      </x:c>
      <x:c r="D16">
        <x:v>0.213</x:v>
      </x:c>
      <x:c r="E16"/>
      <x:c r="F16"/>
      <x:c r="G16"/>
    </x:row>
    <x:row r="17">
      <x:c r="A17" t="str">
        <x:v>销售员003</x:v>
      </x:c>
      <x:c r="B17" t="s">
        <x:v>133</x:v>
      </x:c>
      <x:c r="C17">
        <x:v>13871.4</x:v>
      </x:c>
      <x:c r="D17">
        <x:v>87.218</x:v>
      </x:c>
      <x:c r="E17"/>
      <x:c r="F17"/>
      <x:c r="G17"/>
    </x:row>
    <x:row r="18">
      <x:c r="A18" t="s">
        <x:v>121</x:v>
      </x:c>
      <x:c r="B18"/>
      <x:c r="C18"/>
      <x:c r="D18"/>
      <x:c r="E18"/>
      <x:c r="F18"/>
      <x:c r="G18"/>
    </x:row>
    <x:row r="19">
      <x:c r="A19" t="s">
        <x:v>122</x:v>
      </x:c>
      <x:c r="B19"/>
      <x:c r="C19"/>
      <x:c r="D19"/>
      <x:c r="E19"/>
      <x:c r="F19"/>
      <x:c r="G19"/>
    </x:row>
    <x:row r="20">
      <x:c r="A20" t="s">
        <x:v>3</x:v>
      </x:c>
      <x:c r="B20" t="s">
        <x:v>88</x:v>
      </x:c>
      <x:c r="C20" t="s">
        <x:v>89</x:v>
      </x:c>
      <x:c r="D20" t="s">
        <x:v>90</x:v>
      </x:c>
      <x:c r="E20"/>
      <x:c r="F20"/>
      <x:c r="G20"/>
    </x:row>
    <x:row r="21">
      <x:c r="A21" t="str">
        <x:v>销售员004</x:v>
      </x:c>
      <x:c r="B21" t="s">
        <x:v>93</x:v>
      </x:c>
      <x:c r="C21">
        <x:v>1147</x:v>
      </x:c>
      <x:c r="D21">
        <x:v>7.355</x:v>
      </x:c>
      <x:c r="E21"/>
      <x:c r="F21"/>
      <x:c r="G21"/>
    </x:row>
    <x:row r="22">
      <x:c r="A22" t="str">
        <x:v>销售员004</x:v>
      </x:c>
      <x:c r="B22" t="s">
        <x:v>95</x:v>
      </x:c>
      <x:c r="C22">
        <x:v>5300.8</x:v>
      </x:c>
      <x:c r="D22">
        <x:v>32.187</x:v>
      </x:c>
      <x:c r="E22"/>
      <x:c r="F22"/>
      <x:c r="G22"/>
    </x:row>
    <x:row r="23">
      <x:c r="A23" t="str">
        <x:v>销售员004</x:v>
      </x:c>
      <x:c r="B23" t="s">
        <x:v>99</x:v>
      </x:c>
      <x:c r="C23">
        <x:v>55</x:v>
      </x:c>
      <x:c r="D23">
        <x:v>0.401</x:v>
      </x:c>
      <x:c r="E23"/>
      <x:c r="F23"/>
      <x:c r="G23"/>
    </x:row>
    <x:row r="24">
      <x:c r="A24" t="str">
        <x:v>销售员004</x:v>
      </x:c>
      <x:c r="B24" t="s">
        <x:v>100</x:v>
      </x:c>
      <x:c r="C24">
        <x:v>539</x:v>
      </x:c>
      <x:c r="D24">
        <x:v>3.456</x:v>
      </x:c>
      <x:c r="E24"/>
      <x:c r="F24"/>
      <x:c r="G24"/>
    </x:row>
    <x:row r="25">
      <x:c r="A25" t="str">
        <x:v>销售员004</x:v>
      </x:c>
      <x:c r="B25" t="s">
        <x:v>106</x:v>
      </x:c>
      <x:c r="C25">
        <x:v>129</x:v>
      </x:c>
      <x:c r="D25">
        <x:v>0.877</x:v>
      </x:c>
      <x:c r="E25"/>
      <x:c r="F25"/>
      <x:c r="G25"/>
    </x:row>
    <x:row r="26">
      <x:c r="A26" t="str">
        <x:v>销售员004</x:v>
      </x:c>
      <x:c r="B26" t="s">
        <x:v>107</x:v>
      </x:c>
      <x:c r="C26">
        <x:v>36</x:v>
      </x:c>
      <x:c r="D26">
        <x:v>0.28</x:v>
      </x:c>
      <x:c r="E26"/>
      <x:c r="F26"/>
      <x:c r="G26"/>
    </x:row>
    <x:row r="27">
      <x:c r="A27" t="str">
        <x:v>销售员004</x:v>
      </x:c>
      <x:c r="B27" t="s">
        <x:v>108</x:v>
      </x:c>
      <x:c r="C27">
        <x:v>22.5</x:v>
      </x:c>
      <x:c r="D27">
        <x:v>0.137</x:v>
      </x:c>
      <x:c r="E27"/>
      <x:c r="F27"/>
      <x:c r="G27"/>
    </x:row>
    <x:row r="28">
      <x:c r="A28" t="str">
        <x:v>销售员004</x:v>
      </x:c>
      <x:c r="B28" t="s">
        <x:v>109</x:v>
      </x:c>
      <x:c r="C28">
        <x:v>58</x:v>
      </x:c>
      <x:c r="D28">
        <x:v>0.342</x:v>
      </x:c>
      <x:c r="E28"/>
      <x:c r="F28"/>
      <x:c r="G28"/>
    </x:row>
    <x:row r="29">
      <x:c r="A29" t="str">
        <x:v>销售员004</x:v>
      </x:c>
      <x:c r="B29" t="s">
        <x:v>112</x:v>
      </x:c>
      <x:c r="C29">
        <x:v>1106</x:v>
      </x:c>
      <x:c r="D29">
        <x:v>8.059</x:v>
      </x:c>
      <x:c r="E29"/>
      <x:c r="F29"/>
      <x:c r="G29"/>
    </x:row>
    <x:row r="30">
      <x:c r="A30" t="str">
        <x:v>销售员004</x:v>
      </x:c>
      <x:c r="B30" t="s">
        <x:v>114</x:v>
      </x:c>
      <x:c r="C30">
        <x:v>0</x:v>
      </x:c>
      <x:c r="D30">
        <x:v>0</x:v>
      </x:c>
      <x:c r="E30"/>
      <x:c r="F30"/>
      <x:c r="G30"/>
    </x:row>
    <x:row r="31">
      <x:c r="A31" t="str">
        <x:v>销售员004</x:v>
      </x:c>
      <x:c r="B31" t="s">
        <x:v>115</x:v>
      </x:c>
      <x:c r="C31">
        <x:v>988</x:v>
      </x:c>
      <x:c r="D31">
        <x:v>7.199</x:v>
      </x:c>
      <x:c r="E31"/>
      <x:c r="F31"/>
      <x:c r="G31"/>
    </x:row>
    <x:row r="32">
      <x:c r="A32" t="str">
        <x:v>销售员004</x:v>
      </x:c>
      <x:c r="B32" t="s">
        <x:v>117</x:v>
      </x:c>
      <x:c r="C32">
        <x:v>36</x:v>
      </x:c>
      <x:c r="D32">
        <x:v>0.219</x:v>
      </x:c>
      <x:c r="E32"/>
      <x:c r="F32"/>
      <x:c r="G32"/>
    </x:row>
    <x:row r="33">
      <x:c r="A33" t="str">
        <x:v>销售员004</x:v>
      </x:c>
      <x:c r="B33" t="s">
        <x:v>118</x:v>
      </x:c>
      <x:c r="C33">
        <x:v>2727.2</x:v>
      </x:c>
      <x:c r="D33">
        <x:v>16.559</x:v>
      </x:c>
      <x:c r="E33"/>
      <x:c r="F33"/>
      <x:c r="G33"/>
    </x:row>
    <x:row r="34">
      <x:c r="A34" t="str">
        <x:v>销售员004</x:v>
      </x:c>
      <x:c r="B34" t="s">
        <x:v>119</x:v>
      </x:c>
      <x:c r="C34">
        <x:v>5</x:v>
      </x:c>
      <x:c r="D34">
        <x:v>0.03</x:v>
      </x:c>
      <x:c r="E34"/>
      <x:c r="F34"/>
      <x:c r="G34"/>
    </x:row>
    <x:row r="35">
      <x:c r="A35" t="str">
        <x:v>销售员004</x:v>
      </x:c>
      <x:c r="B35" t="s">
        <x:v>133</x:v>
      </x:c>
      <x:c r="C35">
        <x:v>12149.5</x:v>
      </x:c>
      <x:c r="D35">
        <x:v>77.101</x:v>
      </x:c>
      <x:c r="E35"/>
      <x:c r="F35"/>
      <x:c r="G35"/>
    </x:row>
    <x:row r="36">
      <x:c r="A36" t="s">
        <x:v>121</x:v>
      </x:c>
      <x:c r="B36"/>
      <x:c r="C36"/>
      <x:c r="D36"/>
      <x:c r="E36"/>
      <x:c r="F36"/>
      <x:c r="G36"/>
    </x:row>
    <x:row r="37">
      <x:c r="A37" t="s">
        <x:v>122</x:v>
      </x:c>
      <x:c r="B37"/>
      <x:c r="C37"/>
      <x:c r="D37"/>
      <x:c r="E37"/>
      <x:c r="F37"/>
      <x:c r="G37"/>
    </x:row>
    <x:row r="38">
      <x:c r="A38" t="s">
        <x:v>3</x:v>
      </x:c>
      <x:c r="B38" t="s">
        <x:v>88</x:v>
      </x:c>
      <x:c r="C38" t="s">
        <x:v>89</x:v>
      </x:c>
      <x:c r="D38" t="s">
        <x:v>90</x:v>
      </x:c>
      <x:c r="E38"/>
      <x:c r="F38"/>
      <x:c r="G38"/>
    </x:row>
    <x:row r="39">
      <x:c r="A39" t="str">
        <x:v>销售员002</x:v>
      </x:c>
      <x:c r="B39" t="s">
        <x:v>93</x:v>
      </x:c>
      <x:c r="C39">
        <x:v>643.5</x:v>
      </x:c>
      <x:c r="D39">
        <x:v>4.126</x:v>
      </x:c>
      <x:c r="E39"/>
      <x:c r="F39"/>
      <x:c r="G39"/>
    </x:row>
    <x:row r="40">
      <x:c r="A40" t="str">
        <x:v>销售员002</x:v>
      </x:c>
      <x:c r="B40" t="s">
        <x:v>95</x:v>
      </x:c>
      <x:c r="C40">
        <x:v>3619.8</x:v>
      </x:c>
      <x:c r="D40">
        <x:v>21.979</x:v>
      </x:c>
      <x:c r="E40"/>
      <x:c r="F40"/>
      <x:c r="G40"/>
    </x:row>
    <x:row r="41">
      <x:c r="A41" t="str">
        <x:v>销售员002</x:v>
      </x:c>
      <x:c r="B41" t="s">
        <x:v>99</x:v>
      </x:c>
      <x:c r="C41">
        <x:v>110</x:v>
      </x:c>
      <x:c r="D41">
        <x:v>0.802</x:v>
      </x:c>
      <x:c r="E41"/>
      <x:c r="F41"/>
      <x:c r="G41"/>
    </x:row>
    <x:row r="42">
      <x:c r="A42" t="str">
        <x:v>销售员002</x:v>
      </x:c>
      <x:c r="B42" t="s">
        <x:v>100</x:v>
      </x:c>
      <x:c r="C42">
        <x:v>588.7</x:v>
      </x:c>
      <x:c r="D42">
        <x:v>3.775</x:v>
      </x:c>
      <x:c r="E42"/>
      <x:c r="F42"/>
      <x:c r="G42"/>
    </x:row>
    <x:row r="43">
      <x:c r="A43" t="str">
        <x:v>销售员002</x:v>
      </x:c>
      <x:c r="B43" t="s">
        <x:v>106</x:v>
      </x:c>
      <x:c r="C43">
        <x:v>30</x:v>
      </x:c>
      <x:c r="D43">
        <x:v>0.204</x:v>
      </x:c>
      <x:c r="E43"/>
      <x:c r="F43"/>
      <x:c r="G43"/>
    </x:row>
    <x:row r="44">
      <x:c r="A44" t="str">
        <x:v>销售员002</x:v>
      </x:c>
      <x:c r="B44" t="s">
        <x:v>107</x:v>
      </x:c>
      <x:c r="C44">
        <x:v>41</x:v>
      </x:c>
      <x:c r="D44">
        <x:v>0.319</x:v>
      </x:c>
      <x:c r="E44"/>
      <x:c r="F44"/>
      <x:c r="G44"/>
    </x:row>
    <x:row r="45">
      <x:c r="A45" t="str">
        <x:v>销售员002</x:v>
      </x:c>
      <x:c r="B45" t="s">
        <x:v>108</x:v>
      </x:c>
      <x:c r="C45">
        <x:v>23</x:v>
      </x:c>
      <x:c r="D45">
        <x:v>0.14</x:v>
      </x:c>
      <x:c r="E45"/>
      <x:c r="F45"/>
      <x:c r="G45"/>
    </x:row>
    <x:row r="46">
      <x:c r="A46" t="str">
        <x:v>销售员002</x:v>
      </x:c>
      <x:c r="B46" t="s">
        <x:v>109</x:v>
      </x:c>
      <x:c r="C46">
        <x:v>34</x:v>
      </x:c>
      <x:c r="D46">
        <x:v>0.2</x:v>
      </x:c>
      <x:c r="E46"/>
      <x:c r="F46"/>
      <x:c r="G46"/>
    </x:row>
    <x:row r="47">
      <x:c r="A47" t="str">
        <x:v>销售员002</x:v>
      </x:c>
      <x:c r="B47" t="s">
        <x:v>112</x:v>
      </x:c>
      <x:c r="C47">
        <x:v>1364</x:v>
      </x:c>
      <x:c r="D47">
        <x:v>9.939</x:v>
      </x:c>
      <x:c r="E47"/>
      <x:c r="F47"/>
      <x:c r="G47"/>
    </x:row>
    <x:row r="48">
      <x:c r="A48" t="str">
        <x:v>销售员002</x:v>
      </x:c>
      <x:c r="B48" t="s">
        <x:v>114</x:v>
      </x:c>
      <x:c r="C48">
        <x:v>322</x:v>
      </x:c>
      <x:c r="D48">
        <x:v>2.346</x:v>
      </x:c>
      <x:c r="E48"/>
      <x:c r="F48"/>
      <x:c r="G48"/>
    </x:row>
    <x:row r="49">
      <x:c r="A49" t="str">
        <x:v>销售员002</x:v>
      </x:c>
      <x:c r="B49" t="s">
        <x:v>115</x:v>
      </x:c>
      <x:c r="C49">
        <x:v>764.7</x:v>
      </x:c>
      <x:c r="D49">
        <x:v>5.572</x:v>
      </x:c>
      <x:c r="E49"/>
      <x:c r="F49"/>
      <x:c r="G49"/>
    </x:row>
    <x:row r="50">
      <x:c r="A50" t="str">
        <x:v>销售员002</x:v>
      </x:c>
      <x:c r="B50" t="s">
        <x:v>116</x:v>
      </x:c>
      <x:c r="C50">
        <x:v>18</x:v>
      </x:c>
      <x:c r="D50">
        <x:v>0.131</x:v>
      </x:c>
      <x:c r="E50"/>
      <x:c r="F50"/>
      <x:c r="G50"/>
    </x:row>
    <x:row r="51">
      <x:c r="A51" t="str">
        <x:v>销售员002</x:v>
      </x:c>
      <x:c r="B51" t="s">
        <x:v>117</x:v>
      </x:c>
      <x:c r="C51">
        <x:v>61</x:v>
      </x:c>
      <x:c r="D51">
        <x:v>0.37</x:v>
      </x:c>
      <x:c r="E51"/>
      <x:c r="F51"/>
      <x:c r="G51"/>
    </x:row>
    <x:row r="52">
      <x:c r="A52" t="str">
        <x:v>销售员002</x:v>
      </x:c>
      <x:c r="B52" t="s">
        <x:v>118</x:v>
      </x:c>
      <x:c r="C52">
        <x:v>4280.9</x:v>
      </x:c>
      <x:c r="D52">
        <x:v>25.994</x:v>
      </x:c>
      <x:c r="E52"/>
      <x:c r="F52"/>
      <x:c r="G52"/>
    </x:row>
    <x:row r="53">
      <x:c r="A53" t="str">
        <x:v>销售员002</x:v>
      </x:c>
      <x:c r="B53" t="s">
        <x:v>119</x:v>
      </x:c>
      <x:c r="C53">
        <x:v>2.5</x:v>
      </x:c>
      <x:c r="D53">
        <x:v>0.015</x:v>
      </x:c>
      <x:c r="E53"/>
      <x:c r="F53"/>
      <x:c r="G53"/>
    </x:row>
    <x:row r="54">
      <x:c r="A54" t="str">
        <x:v>销售员002</x:v>
      </x:c>
      <x:c r="B54" t="s">
        <x:v>133</x:v>
      </x:c>
      <x:c r="C54">
        <x:v>11903.1</x:v>
      </x:c>
      <x:c r="D54">
        <x:v>75.912</x:v>
      </x:c>
      <x:c r="E54"/>
      <x:c r="F54"/>
      <x:c r="G54"/>
    </x:row>
    <x:row r="55">
      <x:c r="A55" t="s">
        <x:v>121</x:v>
      </x:c>
      <x:c r="B55"/>
      <x:c r="C55"/>
      <x:c r="D55"/>
      <x:c r="E55"/>
      <x:c r="F55"/>
      <x:c r="G55"/>
    </x:row>
    <x:row r="56">
      <x:c r="A56" t="s">
        <x:v>122</x:v>
      </x:c>
      <x:c r="B56"/>
      <x:c r="C56"/>
      <x:c r="D56"/>
      <x:c r="E56"/>
      <x:c r="F56"/>
      <x:c r="G56"/>
    </x:row>
    <x:row r="57">
      <x:c r="A57" t="s">
        <x:v>3</x:v>
      </x:c>
      <x:c r="B57" t="s">
        <x:v>88</x:v>
      </x:c>
      <x:c r="C57" t="s">
        <x:v>89</x:v>
      </x:c>
      <x:c r="D57" t="s">
        <x:v>90</x:v>
      </x:c>
      <x:c r="E57"/>
      <x:c r="F57"/>
      <x:c r="G57"/>
    </x:row>
    <x:row r="58">
      <x:c r="A58" t="str">
        <x:v>销售员001</x:v>
      </x:c>
      <x:c r="B58" t="s">
        <x:v>93</x:v>
      </x:c>
      <x:c r="C58">
        <x:v>871</x:v>
      </x:c>
      <x:c r="D58">
        <x:v>5.585</x:v>
      </x:c>
      <x:c r="E58"/>
      <x:c r="F58"/>
      <x:c r="G58"/>
    </x:row>
    <x:row r="59">
      <x:c r="A59" t="str">
        <x:v>销售员001</x:v>
      </x:c>
      <x:c r="B59" t="s">
        <x:v>95</x:v>
      </x:c>
      <x:c r="C59">
        <x:v>3211.9</x:v>
      </x:c>
      <x:c r="D59">
        <x:v>19.503</x:v>
      </x:c>
      <x:c r="E59"/>
      <x:c r="F59"/>
      <x:c r="G59"/>
    </x:row>
    <x:row r="60">
      <x:c r="A60" t="str">
        <x:v>销售员001</x:v>
      </x:c>
      <x:c r="B60" t="s">
        <x:v>99</x:v>
      </x:c>
      <x:c r="C60">
        <x:v>200</x:v>
      </x:c>
      <x:c r="D60">
        <x:v>1.457</x:v>
      </x:c>
      <x:c r="E60"/>
      <x:c r="F60"/>
      <x:c r="G60"/>
    </x:row>
    <x:row r="61">
      <x:c r="A61" t="str">
        <x:v>销售员001</x:v>
      </x:c>
      <x:c r="B61" t="s">
        <x:v>100</x:v>
      </x:c>
      <x:c r="C61">
        <x:v>516</x:v>
      </x:c>
      <x:c r="D61">
        <x:v>3.309</x:v>
      </x:c>
      <x:c r="E61"/>
      <x:c r="F61"/>
      <x:c r="G61"/>
    </x:row>
    <x:row r="62">
      <x:c r="A62" t="str">
        <x:v>销售员001</x:v>
      </x:c>
      <x:c r="B62" t="s">
        <x:v>106</x:v>
      </x:c>
      <x:c r="C62">
        <x:v>12</x:v>
      </x:c>
      <x:c r="D62">
        <x:v>0.082</x:v>
      </x:c>
      <x:c r="E62"/>
      <x:c r="F62"/>
      <x:c r="G62"/>
    </x:row>
    <x:row r="63">
      <x:c r="A63" t="str">
        <x:v>销售员001</x:v>
      </x:c>
      <x:c r="B63" t="s">
        <x:v>107</x:v>
      </x:c>
      <x:c r="C63">
        <x:v>14</x:v>
      </x:c>
      <x:c r="D63">
        <x:v>0.109</x:v>
      </x:c>
      <x:c r="E63"/>
      <x:c r="F63"/>
      <x:c r="G63"/>
    </x:row>
    <x:row r="64">
      <x:c r="A64" t="str">
        <x:v>销售员001</x:v>
      </x:c>
      <x:c r="B64" t="s">
        <x:v>108</x:v>
      </x:c>
      <x:c r="C64">
        <x:v>12.5</x:v>
      </x:c>
      <x:c r="D64">
        <x:v>0.076</x:v>
      </x:c>
      <x:c r="E64"/>
      <x:c r="F64"/>
      <x:c r="G64"/>
    </x:row>
    <x:row r="65">
      <x:c r="A65" t="str">
        <x:v>销售员001</x:v>
      </x:c>
      <x:c r="B65" t="s">
        <x:v>109</x:v>
      </x:c>
      <x:c r="C65">
        <x:v>30</x:v>
      </x:c>
      <x:c r="D65">
        <x:v>0.177</x:v>
      </x:c>
      <x:c r="E65"/>
      <x:c r="F65"/>
      <x:c r="G65"/>
    </x:row>
    <x:row r="66">
      <x:c r="A66" t="str">
        <x:v>销售员001</x:v>
      </x:c>
      <x:c r="B66" t="s">
        <x:v>112</x:v>
      </x:c>
      <x:c r="C66">
        <x:v>1104</x:v>
      </x:c>
      <x:c r="D66">
        <x:v>8.044</x:v>
      </x:c>
      <x:c r="E66"/>
      <x:c r="F66"/>
      <x:c r="G66"/>
    </x:row>
    <x:row r="67">
      <x:c r="A67" t="str">
        <x:v>销售员001</x:v>
      </x:c>
      <x:c r="B67" t="s">
        <x:v>114</x:v>
      </x:c>
      <x:c r="C67">
        <x:v>504</x:v>
      </x:c>
      <x:c r="D67">
        <x:v>3.672</x:v>
      </x:c>
      <x:c r="E67"/>
      <x:c r="F67"/>
      <x:c r="G67"/>
    </x:row>
    <x:row r="68">
      <x:c r="A68" t="str">
        <x:v>销售员001</x:v>
      </x:c>
      <x:c r="B68" t="s">
        <x:v>115</x:v>
      </x:c>
      <x:c r="C68">
        <x:v>816</x:v>
      </x:c>
      <x:c r="D68">
        <x:v>5.946</x:v>
      </x:c>
      <x:c r="E68"/>
      <x:c r="F68"/>
      <x:c r="G68"/>
    </x:row>
    <x:row r="69">
      <x:c r="A69" t="str">
        <x:v>销售员001</x:v>
      </x:c>
      <x:c r="B69" t="s">
        <x:v>118</x:v>
      </x:c>
      <x:c r="C69">
        <x:v>4027.7</x:v>
      </x:c>
      <x:c r="D69">
        <x:v>24.456</x:v>
      </x:c>
      <x:c r="E69"/>
      <x:c r="F69"/>
      <x:c r="G69"/>
    </x:row>
    <x:row r="70">
      <x:c r="A70" t="str">
        <x:v>销售员001</x:v>
      </x:c>
      <x:c r="B70" t="s">
        <x:v>119</x:v>
      </x:c>
      <x:c r="C70">
        <x:v>5</x:v>
      </x:c>
      <x:c r="D70">
        <x:v>0.03</x:v>
      </x:c>
      <x:c r="E70"/>
      <x:c r="F70"/>
      <x:c r="G70"/>
    </x:row>
    <x:row r="71">
      <x:c r="A71" t="str">
        <x:v>销售员001</x:v>
      </x:c>
      <x:c r="B71" t="s">
        <x:v>133</x:v>
      </x:c>
      <x:c r="C71">
        <x:v>11324.1</x:v>
      </x:c>
      <x:c r="D71">
        <x:v>72.446</x:v>
      </x:c>
      <x:c r="E71"/>
      <x:c r="F71"/>
      <x:c r="G71"/>
    </x:row>
    <x:row r="72">
      <x:c r="A72" t="s">
        <x:v>121</x:v>
      </x:c>
      <x:c r="B72"/>
      <x:c r="C72"/>
      <x:c r="D72"/>
      <x:c r="E72"/>
      <x:c r="F72"/>
      <x:c r="G72"/>
    </x:row>
    <x:row r="73">
      <x:c r="A73" t="s">
        <x:v>122</x:v>
      </x:c>
      <x:c r="B73"/>
      <x:c r="C73"/>
      <x:c r="D73"/>
      <x:c r="E73"/>
      <x:c r="F73"/>
      <x:c r="G73"/>
    </x:row>
    <x:row r="74">
      <x:c r="A74" t="s">
        <x:v>3</x:v>
      </x:c>
      <x:c r="B74" t="s">
        <x:v>88</x:v>
      </x:c>
      <x:c r="C74" t="s">
        <x:v>89</x:v>
      </x:c>
      <x:c r="D74" t="s">
        <x:v>90</x:v>
      </x:c>
      <x:c r="E74"/>
      <x:c r="F74"/>
      <x:c r="G74"/>
    </x:row>
    <x:row r="75">
      <x:c r="A75" t="str">
        <x:v>销售员009</x:v>
      </x:c>
      <x:c r="B75" t="s">
        <x:v>93</x:v>
      </x:c>
      <x:c r="C75">
        <x:v>746</x:v>
      </x:c>
      <x:c r="D75">
        <x:v>4.783</x:v>
      </x:c>
      <x:c r="E75"/>
      <x:c r="F75"/>
      <x:c r="G75"/>
    </x:row>
    <x:row r="76">
      <x:c r="A76" t="str">
        <x:v>销售员009</x:v>
      </x:c>
      <x:c r="B76" t="s">
        <x:v>95</x:v>
      </x:c>
      <x:c r="C76">
        <x:v>3369.5</x:v>
      </x:c>
      <x:c r="D76">
        <x:v>20.46</x:v>
      </x:c>
      <x:c r="E76"/>
      <x:c r="F76"/>
      <x:c r="G76"/>
    </x:row>
    <x:row r="77">
      <x:c r="A77" t="str">
        <x:v>销售员009</x:v>
      </x:c>
      <x:c r="B77" t="s">
        <x:v>99</x:v>
      </x:c>
      <x:c r="C77">
        <x:v>60</x:v>
      </x:c>
      <x:c r="D77">
        <x:v>0.437</x:v>
      </x:c>
      <x:c r="E77"/>
      <x:c r="F77"/>
      <x:c r="G77"/>
    </x:row>
    <x:row r="78">
      <x:c r="A78" t="str">
        <x:v>销售员009</x:v>
      </x:c>
      <x:c r="B78" t="s">
        <x:v>100</x:v>
      </x:c>
      <x:c r="C78">
        <x:v>742</x:v>
      </x:c>
      <x:c r="D78">
        <x:v>4.758</x:v>
      </x:c>
      <x:c r="E78"/>
      <x:c r="F78"/>
      <x:c r="G78"/>
    </x:row>
    <x:row r="79">
      <x:c r="A79" t="str">
        <x:v>销售员009</x:v>
      </x:c>
      <x:c r="B79" t="s">
        <x:v>106</x:v>
      </x:c>
      <x:c r="C79">
        <x:v>32</x:v>
      </x:c>
      <x:c r="D79">
        <x:v>0.218</x:v>
      </x:c>
      <x:c r="E79"/>
      <x:c r="F79"/>
      <x:c r="G79"/>
    </x:row>
    <x:row r="80">
      <x:c r="A80" t="str">
        <x:v>销售员009</x:v>
      </x:c>
      <x:c r="B80" t="s">
        <x:v>107</x:v>
      </x:c>
      <x:c r="C80">
        <x:v>40</x:v>
      </x:c>
      <x:c r="D80">
        <x:v>0.311</x:v>
      </x:c>
      <x:c r="E80"/>
      <x:c r="F80"/>
      <x:c r="G80"/>
    </x:row>
    <x:row r="81">
      <x:c r="A81" t="str">
        <x:v>销售员009</x:v>
      </x:c>
      <x:c r="B81" t="s">
        <x:v>108</x:v>
      </x:c>
      <x:c r="C81">
        <x:v>22.5</x:v>
      </x:c>
      <x:c r="D81">
        <x:v>0.137</x:v>
      </x:c>
      <x:c r="E81"/>
      <x:c r="F81"/>
      <x:c r="G81"/>
    </x:row>
    <x:row r="82">
      <x:c r="A82" t="str">
        <x:v>销售员009</x:v>
      </x:c>
      <x:c r="B82" t="s">
        <x:v>109</x:v>
      </x:c>
      <x:c r="C82">
        <x:v>11</x:v>
      </x:c>
      <x:c r="D82">
        <x:v>0.065</x:v>
      </x:c>
      <x:c r="E82"/>
      <x:c r="F82"/>
      <x:c r="G82"/>
    </x:row>
    <x:row r="83">
      <x:c r="A83" t="str">
        <x:v>销售员009</x:v>
      </x:c>
      <x:c r="B83" t="s">
        <x:v>110</x:v>
      </x:c>
      <x:c r="C83">
        <x:v>216</x:v>
      </x:c>
      <x:c r="D83">
        <x:v>1.385</x:v>
      </x:c>
      <x:c r="E83"/>
      <x:c r="F83"/>
      <x:c r="G83"/>
    </x:row>
    <x:row r="84">
      <x:c r="A84" t="str">
        <x:v>销售员009</x:v>
      </x:c>
      <x:c r="B84" t="s">
        <x:v>112</x:v>
      </x:c>
      <x:c r="C84">
        <x:v>2698</x:v>
      </x:c>
      <x:c r="D84">
        <x:v>19.659</x:v>
      </x:c>
      <x:c r="E84"/>
      <x:c r="F84"/>
      <x:c r="G84"/>
    </x:row>
    <x:row r="85">
      <x:c r="A85" t="str">
        <x:v>销售员009</x:v>
      </x:c>
      <x:c r="B85" t="s">
        <x:v>114</x:v>
      </x:c>
      <x:c r="C85">
        <x:v>70</x:v>
      </x:c>
      <x:c r="D85">
        <x:v>0.51</x:v>
      </x:c>
      <x:c r="E85"/>
      <x:c r="F85"/>
      <x:c r="G85"/>
    </x:row>
    <x:row r="86">
      <x:c r="A86" t="str">
        <x:v>销售员009</x:v>
      </x:c>
      <x:c r="B86" t="s">
        <x:v>115</x:v>
      </x:c>
      <x:c r="C86">
        <x:v>811</x:v>
      </x:c>
      <x:c r="D86">
        <x:v>5.909</x:v>
      </x:c>
      <x:c r="E86"/>
      <x:c r="F86"/>
      <x:c r="G86"/>
    </x:row>
    <x:row r="87">
      <x:c r="A87" t="str">
        <x:v>销售员009</x:v>
      </x:c>
      <x:c r="B87" t="s">
        <x:v>117</x:v>
      </x:c>
      <x:c r="C87">
        <x:v>0</x:v>
      </x:c>
      <x:c r="D87">
        <x:v>0</x:v>
      </x:c>
      <x:c r="E87"/>
      <x:c r="F87"/>
      <x:c r="G87"/>
    </x:row>
    <x:row r="88">
      <x:c r="A88" t="str">
        <x:v>销售员009</x:v>
      </x:c>
      <x:c r="B88" t="s">
        <x:v>118</x:v>
      </x:c>
      <x:c r="C88">
        <x:v>4400.1</x:v>
      </x:c>
      <x:c r="D88">
        <x:v>26.717</x:v>
      </x:c>
      <x:c r="E88"/>
      <x:c r="F88"/>
      <x:c r="G88"/>
    </x:row>
    <x:row r="89">
      <x:c r="A89" t="str">
        <x:v>销售员009</x:v>
      </x:c>
      <x:c r="B89" t="s">
        <x:v>133</x:v>
      </x:c>
      <x:c r="C89">
        <x:v>13218.1</x:v>
      </x:c>
      <x:c r="D89">
        <x:v>85.349</x:v>
      </x:c>
      <x:c r="E89"/>
      <x:c r="F89"/>
      <x:c r="G89"/>
    </x:row>
    <x:row r="90">
      <x:c r="A90" t="s">
        <x:v>121</x:v>
      </x:c>
      <x:c r="B90"/>
      <x:c r="C90"/>
      <x:c r="D90"/>
      <x:c r="E90"/>
      <x:c r="F90"/>
      <x:c r="G90"/>
    </x:row>
    <x:row r="91">
      <x:c r="A91" t="s">
        <x:v>122</x:v>
      </x:c>
      <x:c r="B91"/>
      <x:c r="C91"/>
      <x:c r="D91"/>
      <x:c r="E91"/>
      <x:c r="F91"/>
      <x:c r="G91"/>
    </x:row>
    <x:row r="92">
      <x:c r="A92" t="s">
        <x:v>3</x:v>
      </x:c>
      <x:c r="B92" t="s">
        <x:v>88</x:v>
      </x:c>
      <x:c r="C92" t="s">
        <x:v>89</x:v>
      </x:c>
      <x:c r="D92" t="s">
        <x:v>90</x:v>
      </x:c>
      <x:c r="E92"/>
      <x:c r="F92"/>
      <x:c r="G92"/>
    </x:row>
    <x:row r="93">
      <x:c r="A93" t="str">
        <x:v>销售员006</x:v>
      </x:c>
      <x:c r="B93" t="s">
        <x:v>93</x:v>
      </x:c>
      <x:c r="C93">
        <x:v>2871.5</x:v>
      </x:c>
      <x:c r="D93">
        <x:v>18.412</x:v>
      </x:c>
      <x:c r="E93"/>
      <x:c r="F93"/>
      <x:c r="G93"/>
    </x:row>
    <x:row r="94">
      <x:c r="A94" t="str">
        <x:v>销售员006</x:v>
      </x:c>
      <x:c r="B94" t="s">
        <x:v>95</x:v>
      </x:c>
      <x:c r="C94">
        <x:v>101.1</x:v>
      </x:c>
      <x:c r="D94">
        <x:v>0.614</x:v>
      </x:c>
      <x:c r="E94"/>
      <x:c r="F94"/>
      <x:c r="G94"/>
    </x:row>
    <x:row r="95">
      <x:c r="A95" t="str">
        <x:v>销售员006</x:v>
      </x:c>
      <x:c r="B95" t="s">
        <x:v>97</x:v>
      </x:c>
      <x:c r="C95">
        <x:v>169</x:v>
      </x:c>
      <x:c r="D95">
        <x:v>1.006</x:v>
      </x:c>
      <x:c r="E95"/>
      <x:c r="F95"/>
      <x:c r="G95"/>
    </x:row>
    <x:row r="96">
      <x:c r="A96" t="str">
        <x:v>销售员006</x:v>
      </x:c>
      <x:c r="B96" t="s">
        <x:v>99</x:v>
      </x:c>
      <x:c r="C96">
        <x:v>286</x:v>
      </x:c>
      <x:c r="D96">
        <x:v>2.084</x:v>
      </x:c>
      <x:c r="E96"/>
      <x:c r="F96"/>
      <x:c r="G96"/>
    </x:row>
    <x:row r="97">
      <x:c r="A97" t="str">
        <x:v>销售员006</x:v>
      </x:c>
      <x:c r="B97" t="s">
        <x:v>103</x:v>
      </x:c>
      <x:c r="C97">
        <x:v>37.3</x:v>
      </x:c>
      <x:c r="D97">
        <x:v>0.215</x:v>
      </x:c>
      <x:c r="E97"/>
      <x:c r="F97"/>
      <x:c r="G97"/>
    </x:row>
    <x:row r="98">
      <x:c r="A98" t="str">
        <x:v>销售员006</x:v>
      </x:c>
      <x:c r="B98" t="s">
        <x:v>106</x:v>
      </x:c>
      <x:c r="C98">
        <x:v>200</x:v>
      </x:c>
      <x:c r="D98">
        <x:v>1.36</x:v>
      </x:c>
      <x:c r="E98"/>
      <x:c r="F98"/>
      <x:c r="G98"/>
    </x:row>
    <x:row r="99">
      <x:c r="A99" t="str">
        <x:v>销售员006</x:v>
      </x:c>
      <x:c r="B99" t="s">
        <x:v>107</x:v>
      </x:c>
      <x:c r="C99">
        <x:v>27</x:v>
      </x:c>
      <x:c r="D99">
        <x:v>0.21</x:v>
      </x:c>
      <x:c r="E99"/>
      <x:c r="F99"/>
      <x:c r="G99"/>
    </x:row>
    <x:row r="100">
      <x:c r="A100" t="str">
        <x:v>销售员006</x:v>
      </x:c>
      <x:c r="B100" t="s">
        <x:v>109</x:v>
      </x:c>
      <x:c r="C100">
        <x:v>427.7</x:v>
      </x:c>
      <x:c r="D100">
        <x:v>2.519</x:v>
      </x:c>
      <x:c r="E100"/>
      <x:c r="F100"/>
      <x:c r="G100"/>
    </x:row>
    <x:row r="101">
      <x:c r="A101" t="str">
        <x:v>销售员006</x:v>
      </x:c>
      <x:c r="B101" t="s">
        <x:v>110</x:v>
      </x:c>
      <x:c r="C101">
        <x:v>108</x:v>
      </x:c>
      <x:c r="D101">
        <x:v>0.692</x:v>
      </x:c>
      <x:c r="E101"/>
      <x:c r="F101"/>
      <x:c r="G101"/>
    </x:row>
    <x:row r="102">
      <x:c r="A102" t="str">
        <x:v>销售员006</x:v>
      </x:c>
      <x:c r="B102" t="s">
        <x:v>111</x:v>
      </x:c>
      <x:c r="C102">
        <x:v>285</x:v>
      </x:c>
      <x:c r="D102">
        <x:v>1.731</x:v>
      </x:c>
      <x:c r="E102"/>
      <x:c r="F102"/>
      <x:c r="G102"/>
    </x:row>
    <x:row r="103">
      <x:c r="A103" t="str">
        <x:v>销售员006</x:v>
      </x:c>
      <x:c r="B103" t="s">
        <x:v>112</x:v>
      </x:c>
      <x:c r="C103">
        <x:v>402</x:v>
      </x:c>
      <x:c r="D103">
        <x:v>2.929</x:v>
      </x:c>
      <x:c r="E103"/>
      <x:c r="F103"/>
      <x:c r="G103"/>
    </x:row>
    <x:row r="104">
      <x:c r="A104" t="str">
        <x:v>销售员006</x:v>
      </x:c>
      <x:c r="B104" t="s">
        <x:v>116</x:v>
      </x:c>
      <x:c r="C104">
        <x:v>160</x:v>
      </x:c>
      <x:c r="D104">
        <x:v>1.166</x:v>
      </x:c>
      <x:c r="E104"/>
      <x:c r="F104"/>
      <x:c r="G104"/>
    </x:row>
    <x:row r="105">
      <x:c r="A105" t="str">
        <x:v>销售员006</x:v>
      </x:c>
      <x:c r="B105" t="s">
        <x:v>118</x:v>
      </x:c>
      <x:c r="C105">
        <x:v>14</x:v>
      </x:c>
      <x:c r="D105">
        <x:v>0.085</x:v>
      </x:c>
      <x:c r="E105"/>
      <x:c r="F105"/>
      <x:c r="G105"/>
    </x:row>
    <x:row r="106">
      <x:c r="A106" t="str">
        <x:v>销售员006</x:v>
      </x:c>
      <x:c r="B106" t="s">
        <x:v>120</x:v>
      </x:c>
      <x:c r="C106">
        <x:v>6</x:v>
      </x:c>
      <x:c r="D106">
        <x:v>0.036</x:v>
      </x:c>
      <x:c r="E106"/>
      <x:c r="F106"/>
      <x:c r="G106"/>
    </x:row>
    <x:row r="107">
      <x:c r="A107" t="str">
        <x:v>销售员006</x:v>
      </x:c>
      <x:c r="B107" t="s">
        <x:v>133</x:v>
      </x:c>
      <x:c r="C107">
        <x:v>5094.6</x:v>
      </x:c>
      <x:c r="D107">
        <x:v>33.059</x:v>
      </x:c>
      <x:c r="E107"/>
      <x:c r="F107"/>
      <x:c r="G107"/>
    </x:row>
    <x:row r="108">
      <x:c r="A108" t="s">
        <x:v>121</x:v>
      </x:c>
      <x:c r="B108"/>
      <x:c r="C108"/>
      <x:c r="D108"/>
      <x:c r="E108"/>
      <x:c r="F108"/>
      <x:c r="G108"/>
    </x:row>
    <x:row r="109">
      <x:c r="A109" t="s">
        <x:v>122</x:v>
      </x:c>
      <x:c r="B109"/>
      <x:c r="C109"/>
      <x:c r="D109"/>
      <x:c r="E109"/>
      <x:c r="F109"/>
      <x:c r="G109"/>
    </x:row>
    <x:row r="110">
      <x:c r="A110" t="s">
        <x:v>3</x:v>
      </x:c>
      <x:c r="B110" t="s">
        <x:v>88</x:v>
      </x:c>
      <x:c r="C110" t="s">
        <x:v>89</x:v>
      </x:c>
      <x:c r="D110" t="s">
        <x:v>90</x:v>
      </x:c>
      <x:c r="E110"/>
      <x:c r="F110"/>
      <x:c r="G110"/>
    </x:row>
    <x:row r="111">
      <x:c r="A111" t="str">
        <x:v>销售员005</x:v>
      </x:c>
      <x:c r="B111" t="s">
        <x:v>93</x:v>
      </x:c>
      <x:c r="C111">
        <x:v>4648.8</x:v>
      </x:c>
      <x:c r="D111">
        <x:v>29.808</x:v>
      </x:c>
      <x:c r="E111"/>
      <x:c r="F111"/>
      <x:c r="G111"/>
    </x:row>
    <x:row r="112">
      <x:c r="A112" t="str">
        <x:v>销售员005</x:v>
      </x:c>
      <x:c r="B112" t="s">
        <x:v>95</x:v>
      </x:c>
      <x:c r="C112">
        <x:v>85</x:v>
      </x:c>
      <x:c r="D112">
        <x:v>0.516</x:v>
      </x:c>
      <x:c r="E112"/>
      <x:c r="F112"/>
      <x:c r="G112"/>
    </x:row>
    <x:row r="113">
      <x:c r="A113" t="str">
        <x:v>销售员005</x:v>
      </x:c>
      <x:c r="B113" t="s">
        <x:v>97</x:v>
      </x:c>
      <x:c r="C113">
        <x:v>276.5</x:v>
      </x:c>
      <x:c r="D113">
        <x:v>1.645</x:v>
      </x:c>
      <x:c r="E113"/>
      <x:c r="F113"/>
      <x:c r="G113"/>
    </x:row>
    <x:row r="114">
      <x:c r="A114" t="str">
        <x:v>销售员005</x:v>
      </x:c>
      <x:c r="B114" t="s">
        <x:v>103</x:v>
      </x:c>
      <x:c r="C114">
        <x:v>29.1</x:v>
      </x:c>
      <x:c r="D114">
        <x:v>0.168</x:v>
      </x:c>
      <x:c r="E114"/>
      <x:c r="F114"/>
      <x:c r="G114"/>
    </x:row>
    <x:row r="115">
      <x:c r="A115" t="str">
        <x:v>销售员005</x:v>
      </x:c>
      <x:c r="B115" t="s">
        <x:v>106</x:v>
      </x:c>
      <x:c r="C115">
        <x:v>176</x:v>
      </x:c>
      <x:c r="D115">
        <x:v>1.197</x:v>
      </x:c>
      <x:c r="E115"/>
      <x:c r="F115"/>
      <x:c r="G115"/>
    </x:row>
    <x:row r="116">
      <x:c r="A116" t="str">
        <x:v>销售员005</x:v>
      </x:c>
      <x:c r="B116" t="s">
        <x:v>107</x:v>
      </x:c>
      <x:c r="C116">
        <x:v>87</x:v>
      </x:c>
      <x:c r="D116">
        <x:v>0.676</x:v>
      </x:c>
      <x:c r="E116"/>
      <x:c r="F116"/>
      <x:c r="G116"/>
    </x:row>
    <x:row r="117">
      <x:c r="A117" t="str">
        <x:v>销售员005</x:v>
      </x:c>
      <x:c r="B117" t="s">
        <x:v>109</x:v>
      </x:c>
      <x:c r="C117">
        <x:v>513</x:v>
      </x:c>
      <x:c r="D117">
        <x:v>3.021</x:v>
      </x:c>
      <x:c r="E117"/>
      <x:c r="F117"/>
      <x:c r="G117"/>
    </x:row>
    <x:row r="118">
      <x:c r="A118" t="str">
        <x:v>销售员005</x:v>
      </x:c>
      <x:c r="B118" t="s">
        <x:v>110</x:v>
      </x:c>
      <x:c r="C118">
        <x:v>213</x:v>
      </x:c>
      <x:c r="D118">
        <x:v>1.366</x:v>
      </x:c>
      <x:c r="E118"/>
      <x:c r="F118"/>
      <x:c r="G118"/>
    </x:row>
    <x:row r="119">
      <x:c r="A119" t="str">
        <x:v>销售员005</x:v>
      </x:c>
      <x:c r="B119" t="s">
        <x:v>112</x:v>
      </x:c>
      <x:c r="C119">
        <x:v>12</x:v>
      </x:c>
      <x:c r="D119">
        <x:v>0.087</x:v>
      </x:c>
      <x:c r="E119"/>
      <x:c r="F119"/>
      <x:c r="G119"/>
    </x:row>
    <x:row r="120">
      <x:c r="A120" t="str">
        <x:v>销售员005</x:v>
      </x:c>
      <x:c r="B120" t="s">
        <x:v>114</x:v>
      </x:c>
      <x:c r="C120">
        <x:v>168</x:v>
      </x:c>
      <x:c r="D120">
        <x:v>1.224</x:v>
      </x:c>
      <x:c r="E120"/>
      <x:c r="F120"/>
      <x:c r="G120"/>
    </x:row>
    <x:row r="121">
      <x:c r="A121" t="str">
        <x:v>销售员005</x:v>
      </x:c>
      <x:c r="B121" t="s">
        <x:v>116</x:v>
      </x:c>
      <x:c r="C121">
        <x:v>40</x:v>
      </x:c>
      <x:c r="D121">
        <x:v>0.291</x:v>
      </x:c>
      <x:c r="E121"/>
      <x:c r="F121"/>
      <x:c r="G121"/>
    </x:row>
    <x:row r="122">
      <x:c r="A122" t="str">
        <x:v>销售员005</x:v>
      </x:c>
      <x:c r="B122" t="s">
        <x:v>118</x:v>
      </x:c>
      <x:c r="C122">
        <x:v>9</x:v>
      </x:c>
      <x:c r="D122">
        <x:v>0.055</x:v>
      </x:c>
      <x:c r="E122"/>
      <x:c r="F122"/>
      <x:c r="G122"/>
    </x:row>
    <x:row r="123">
      <x:c r="A123" t="str">
        <x:v>销售员005</x:v>
      </x:c>
      <x:c r="B123" t="s">
        <x:v>120</x:v>
      </x:c>
      <x:c r="C123">
        <x:v>12</x:v>
      </x:c>
      <x:c r="D123">
        <x:v>0.071</x:v>
      </x:c>
      <x:c r="E123"/>
      <x:c r="F123"/>
      <x:c r="G123"/>
    </x:row>
    <x:row r="124">
      <x:c r="A124" t="str">
        <x:v>销售员005</x:v>
      </x:c>
      <x:c r="B124" t="s">
        <x:v>133</x:v>
      </x:c>
      <x:c r="C124">
        <x:v>6269.4</x:v>
      </x:c>
      <x:c r="D124">
        <x:v>40.125</x:v>
      </x:c>
      <x:c r="E124"/>
      <x:c r="F124"/>
      <x:c r="G124"/>
    </x:row>
    <x:row r="125">
      <x:c r="A125"/>
      <x:c r="B125"/>
      <x:c r="C125"/>
      <x:c r="D125"/>
      <x:c r="E125"/>
      <x:c r="F125"/>
      <x:c r="G125"/>
    </x:row>
    <x:row r="126">
      <x:c r="A126"/>
      <x:c r="B126"/>
      <x:c r="C126"/>
      <x:c r="D126"/>
      <x:c r="E126"/>
      <x:c r="F126"/>
      <x:c r="G126"/>
    </x:row>
    <x:row r="127">
      <x:c r="A127"/>
      <x:c r="B127"/>
      <x:c r="C127"/>
      <x:c r="D127"/>
      <x:c r="E127"/>
      <x:c r="F127"/>
      <x:c r="G127"/>
    </x:row>
    <x:row r="128">
      <x:c r="A128"/>
      <x:c r="B128"/>
      <x:c r="C128" t="n">
        <x:f>SUBTOTAL(9,C1:C127)</x:f>
        <x:v>147660.4</x:v>
      </x:c>
      <x:c r="D128"/>
      <x:c r="E128"/>
      <x:c r="F128"/>
      <x:c r="G128"/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12.630000114440918" hidden="0" customWidth="1"/>
    <x:col min="2" max="2" width="22.5" hidden="0" customWidth="1"/>
    <x:col min="3" max="3" width="52.5" hidden="0" customWidth="1"/>
    <x:col min="4" max="4" width="4.25" hidden="0" customWidth="1"/>
    <x:col min="5" max="5" width="10.380000114440918" hidden="0" customWidth="1"/>
  </x:cols>
  <x:sheetData>
    <x:row r="1">
      <x:c r="A1" t="s">
        <x:v>456</x:v>
      </x:c>
      <x:c r="B1"/>
      <x:c r="C1"/>
      <x:c r="D1"/>
      <x:c r="E1"/>
    </x:row>
    <x:row r="2">
      <x:c r="A2" t="s">
        <x:v>122</x:v>
      </x:c>
      <x:c r="B2"/>
      <x:c r="C2"/>
      <x:c r="D2"/>
      <x:c r="E2"/>
    </x:row>
    <x:row r="3">
      <x:c r="A3" t="s">
        <x:v>457</x:v>
      </x:c>
      <x:c r="B3" t="s">
        <x:v>458</x:v>
      </x:c>
      <x:c r="C3" t="s">
        <x:v>88</x:v>
      </x:c>
      <x:c r="D3" t="s">
        <x:v>459</x:v>
      </x:c>
      <x:c r="E3" t="s">
        <x:v>460</x:v>
      </x:c>
    </x:row>
    <x:row r="4">
      <x:c r="A4">
        <x:v>46080</x:v>
      </x:c>
      <x:c r="B4" t="s">
        <x:v>461</x:v>
      </x:c>
      <x:c r="C4" t="s">
        <x:v>462</x:v>
      </x:c>
      <x:c r="D4">
        <x:v>220</x:v>
      </x:c>
      <x:c r="E4">
        <x:v>1.30912639615355</x:v>
      </x:c>
    </x:row>
    <x:row r="5">
      <x:c r="A5">
        <x:v>46080</x:v>
      </x:c>
      <x:c r="B5" t="s">
        <x:v>463</x:v>
      </x:c>
      <x:c r="C5" t="s">
        <x:v>464</x:v>
      </x:c>
      <x:c r="D5">
        <x:v>110</x:v>
      </x:c>
      <x:c r="E5">
        <x:v>0.654563198076774</x:v>
      </x:c>
    </x:row>
    <x:row r="6">
      <x:c r="A6">
        <x:v>46080</x:v>
      </x:c>
      <x:c r="B6" t="s">
        <x:v>463</x:v>
      </x:c>
      <x:c r="C6" t="s">
        <x:v>465</x:v>
      </x:c>
      <x:c r="D6">
        <x:v>1584</x:v>
      </x:c>
      <x:c r="E6">
        <x:v>9.61807031392313</x:v>
      </x:c>
    </x:row>
    <x:row r="7">
      <x:c r="A7">
        <x:v>46080</x:v>
      </x:c>
      <x:c r="B7" t="s">
        <x:v>461</x:v>
      </x:c>
      <x:c r="C7" t="s">
        <x:v>465</x:v>
      </x:c>
      <x:c r="D7">
        <x:v>1764</x:v>
      </x:c>
      <x:c r="E7">
        <x:v>10.7110328495962</x:v>
      </x:c>
    </x:row>
    <x:row r="8">
      <x:c r="A8">
        <x:v>46080</x:v>
      </x:c>
      <x:c r="B8" t="s">
        <x:v>461</x:v>
      </x:c>
      <x:c r="C8" t="s">
        <x:v>466</x:v>
      </x:c>
      <x:c r="D8">
        <x:v>340</x:v>
      </x:c>
      <x:c r="E8">
        <x:v>2.47741183328476</x:v>
      </x:c>
    </x:row>
    <x:row r="9">
      <x:c r="A9">
        <x:v>46080</x:v>
      </x:c>
      <x:c r="B9" t="s">
        <x:v>461</x:v>
      </x:c>
      <x:c r="C9" t="s">
        <x:v>467</x:v>
      </x:c>
      <x:c r="D9">
        <x:v>476</x:v>
      </x:c>
      <x:c r="E9">
        <x:v>3.05212334169034</x:v>
      </x:c>
    </x:row>
    <x:row r="10">
      <x:c r="A10">
        <x:v>46080</x:v>
      </x:c>
      <x:c r="B10" t="s">
        <x:v>463</x:v>
      </x:c>
      <x:c r="C10" t="s">
        <x:v>468</x:v>
      </x:c>
      <x:c r="D10">
        <x:v>4536</x:v>
      </x:c>
      <x:c r="E10">
        <x:v>27.5426558989617</x:v>
      </x:c>
    </x:row>
    <x:row r="11">
      <x:c r="A11">
        <x:v>46080</x:v>
      </x:c>
      <x:c r="B11" t="s">
        <x:v>461</x:v>
      </x:c>
      <x:c r="C11" t="s">
        <x:v>469</x:v>
      </x:c>
      <x:c r="D11">
        <x:v>40</x:v>
      </x:c>
      <x:c r="E11">
        <x:v>0.242880563482907</x:v>
      </x:c>
    </x:row>
    <x:row r="12">
      <x:c r="A12">
        <x:v>46080</x:v>
      </x:c>
      <x:c r="B12" t="s">
        <x:v>463</x:v>
      </x:c>
      <x:c r="C12" t="s">
        <x:v>462</x:v>
      </x:c>
      <x:c r="D12">
        <x:v>550</x:v>
      </x:c>
      <x:c r="E12">
        <x:v>3.27281599038387</x:v>
      </x:c>
    </x:row>
    <x:row r="13">
      <x:c r="A13">
        <x:v>46079</x:v>
      </x:c>
      <x:c r="B13" t="s">
        <x:v>470</x:v>
      </x:c>
      <x:c r="C13" t="s">
        <x:v>471</x:v>
      </x:c>
      <x:c r="D13">
        <x:v>136</x:v>
      </x:c>
      <x:c r="E13">
        <x:v>0.825793915841885</x:v>
      </x:c>
    </x:row>
    <x:row r="14">
      <x:c r="A14">
        <x:v>46079</x:v>
      </x:c>
      <x:c r="B14" t="s">
        <x:v>461</x:v>
      </x:c>
      <x:c r="C14" t="s">
        <x:v>472</x:v>
      </x:c>
      <x:c r="D14">
        <x:v>425</x:v>
      </x:c>
      <x:c r="E14">
        <x:v>2.58060598700589</x:v>
      </x:c>
    </x:row>
    <x:row r="15">
      <x:c r="A15">
        <x:v>46079</x:v>
      </x:c>
      <x:c r="B15" t="s">
        <x:v>473</x:v>
      </x:c>
      <x:c r="C15" t="s">
        <x:v>462</x:v>
      </x:c>
      <x:c r="D15">
        <x:v>5200</x:v>
      </x:c>
      <x:c r="E15">
        <x:v>30.9429875454475</x:v>
      </x:c>
    </x:row>
    <x:row r="16">
      <x:c r="A16">
        <x:v>46079</x:v>
      </x:c>
      <x:c r="B16" t="s">
        <x:v>461</x:v>
      </x:c>
      <x:c r="C16" t="s">
        <x:v>474</x:v>
      </x:c>
      <x:c r="D16">
        <x:v>160</x:v>
      </x:c>
      <x:c r="E16">
        <x:v>0.94237383970221</x:v>
      </x:c>
    </x:row>
    <x:row r="17">
      <x:c r="A17">
        <x:v>46079</x:v>
      </x:c>
      <x:c r="B17" t="s">
        <x:v>470</x:v>
      </x:c>
      <x:c r="C17" t="s">
        <x:v>466</x:v>
      </x:c>
      <x:c r="D17">
        <x:v>544</x:v>
      </x:c>
      <x:c r="E17">
        <x:v>3.96385893325561</x:v>
      </x:c>
    </x:row>
    <x:row r="18">
      <x:c r="A18">
        <x:v>46079</x:v>
      </x:c>
      <x:c r="B18" t="s">
        <x:v>470</x:v>
      </x:c>
      <x:c r="C18" t="s">
        <x:v>462</x:v>
      </x:c>
      <x:c r="D18">
        <x:v>110</x:v>
      </x:c>
      <x:c r="E18">
        <x:v>0.654563198076774</x:v>
      </x:c>
    </x:row>
    <x:row r="19">
      <x:c r="A19">
        <x:v>46079</x:v>
      </x:c>
      <x:c r="B19" t="s">
        <x:v>470</x:v>
      </x:c>
      <x:c r="C19" t="s">
        <x:v>475</x:v>
      </x:c>
      <x:c r="D19">
        <x:v>204</x:v>
      </x:c>
      <x:c r="E19">
        <x:v>1.30805286072443</x:v>
      </x:c>
    </x:row>
    <x:row r="20">
      <x:c r="A20">
        <x:v>46079</x:v>
      </x:c>
      <x:c r="B20" t="s">
        <x:v>461</x:v>
      </x:c>
      <x:c r="C20" t="s">
        <x:v>475</x:v>
      </x:c>
      <x:c r="D20">
        <x:v>425</x:v>
      </x:c>
      <x:c r="E20">
        <x:v>2.72511012650923</x:v>
      </x:c>
    </x:row>
    <x:row r="21">
      <x:c r="A21">
        <x:v>46079</x:v>
      </x:c>
      <x:c r="B21" t="s">
        <x:v>461</x:v>
      </x:c>
      <x:c r="C21" t="s">
        <x:v>462</x:v>
      </x:c>
      <x:c r="D21">
        <x:v>110</x:v>
      </x:c>
      <x:c r="E21">
        <x:v>0.654563198076774</x:v>
      </x:c>
    </x:row>
    <x:row r="22">
      <x:c r="A22">
        <x:v>46079</x:v>
      </x:c>
      <x:c r="B22" t="s">
        <x:v>461</x:v>
      </x:c>
      <x:c r="C22" t="s">
        <x:v>469</x:v>
      </x:c>
      <x:c r="D22">
        <x:v>144</x:v>
      </x:c>
      <x:c r="E22">
        <x:v>0.874370028538466</x:v>
      </x:c>
    </x:row>
    <x:row r="23">
      <x:c r="A23">
        <x:v>46078</x:v>
      </x:c>
      <x:c r="B23" t="s">
        <x:v>473</x:v>
      </x:c>
      <x:c r="C23" t="s">
        <x:v>462</x:v>
      </x:c>
      <x:c r="D23">
        <x:v>5200</x:v>
      </x:c>
      <x:c r="E23">
        <x:v>30.9429875454475</x:v>
      </x:c>
    </x:row>
    <x:row r="24">
      <x:c r="A24" t="s">
        <x:v>456</x:v>
      </x:c>
      <x:c r="B24"/>
      <x:c r="C24"/>
      <x:c r="D24"/>
      <x:c r="E24"/>
    </x:row>
    <x:row r="25">
      <x:c r="A25" t="s">
        <x:v>122</x:v>
      </x:c>
      <x:c r="B25"/>
      <x:c r="C25"/>
      <x:c r="D25"/>
      <x:c r="E25"/>
    </x:row>
    <x:row r="26">
      <x:c r="A26" t="s">
        <x:v>457</x:v>
      </x:c>
      <x:c r="B26" t="s">
        <x:v>458</x:v>
      </x:c>
      <x:c r="C26" t="s">
        <x:v>88</x:v>
      </x:c>
      <x:c r="D26" t="s">
        <x:v>459</x:v>
      </x:c>
      <x:c r="E26" t="s">
        <x:v>460</x:v>
      </x:c>
    </x:row>
    <x:row r="27">
      <x:c r="A27">
        <x:v>46078</x:v>
      </x:c>
      <x:c r="B27" t="s">
        <x:v>461</x:v>
      </x:c>
      <x:c r="C27" t="s">
        <x:v>475</x:v>
      </x:c>
      <x:c r="D27">
        <x:v>204</x:v>
      </x:c>
      <x:c r="E27">
        <x:v>1.30805286072443</x:v>
      </x:c>
    </x:row>
    <x:row r="28">
      <x:c r="A28">
        <x:v>46078</x:v>
      </x:c>
      <x:c r="B28" t="s">
        <x:v>461</x:v>
      </x:c>
      <x:c r="C28" t="s">
        <x:v>474</x:v>
      </x:c>
      <x:c r="D28">
        <x:v>160</x:v>
      </x:c>
      <x:c r="E28">
        <x:v>0.94237383970221</x:v>
      </x:c>
    </x:row>
    <x:row r="29">
      <x:c r="A29">
        <x:v>46078</x:v>
      </x:c>
      <x:c r="B29" t="s">
        <x:v>463</x:v>
      </x:c>
      <x:c r="C29" t="s">
        <x:v>468</x:v>
      </x:c>
      <x:c r="D29">
        <x:v>3348</x:v>
      </x:c>
      <x:c r="E29">
        <x:v>20.3291031635193</x:v>
      </x:c>
    </x:row>
    <x:row r="30">
      <x:c r="A30">
        <x:v>46078</x:v>
      </x:c>
      <x:c r="B30" t="s">
        <x:v>463</x:v>
      </x:c>
      <x:c r="C30" t="s">
        <x:v>465</x:v>
      </x:c>
      <x:c r="D30">
        <x:v>1260</x:v>
      </x:c>
      <x:c r="E30">
        <x:v>7.65073774971158</x:v>
      </x:c>
    </x:row>
    <x:row r="31">
      <x:c r="A31">
        <x:v>46078</x:v>
      </x:c>
      <x:c r="B31" t="s">
        <x:v>463</x:v>
      </x:c>
      <x:c r="C31" t="s">
        <x:v>467</x:v>
      </x:c>
      <x:c r="D31">
        <x:v>1360</x:v>
      </x:c>
      <x:c r="E31">
        <x:v>8.72035240482954</x:v>
      </x:c>
    </x:row>
    <x:row r="32">
      <x:c r="A32">
        <x:v>46078</x:v>
      </x:c>
      <x:c r="B32" t="s">
        <x:v>463</x:v>
      </x:c>
      <x:c r="C32" t="s">
        <x:v>466</x:v>
      </x:c>
      <x:c r="D32">
        <x:v>272</x:v>
      </x:c>
      <x:c r="E32">
        <x:v>1.98192946662781</x:v>
      </x:c>
    </x:row>
    <x:row r="33">
      <x:c r="A33">
        <x:v>46078</x:v>
      </x:c>
      <x:c r="B33" t="s">
        <x:v>470</x:v>
      </x:c>
      <x:c r="C33" t="s">
        <x:v>468</x:v>
      </x:c>
      <x:c r="D33">
        <x:v>918</x:v>
      </x:c>
      <x:c r="E33">
        <x:v>5.57410893193271</x:v>
      </x:c>
    </x:row>
    <x:row r="34">
      <x:c r="A34">
        <x:v>46078</x:v>
      </x:c>
      <x:c r="B34" t="s">
        <x:v>461</x:v>
      </x:c>
      <x:c r="C34" t="s">
        <x:v>465</x:v>
      </x:c>
      <x:c r="D34">
        <x:v>126</x:v>
      </x:c>
      <x:c r="E34">
        <x:v>0.765073774971158</x:v>
      </x:c>
    </x:row>
    <x:row r="35">
      <x:c r="A35">
        <x:v>46078</x:v>
      </x:c>
      <x:c r="B35" t="s">
        <x:v>473</x:v>
      </x:c>
      <x:c r="C35" t="s">
        <x:v>462</x:v>
      </x:c>
      <x:c r="D35">
        <x:v>5200</x:v>
      </x:c>
      <x:c r="E35">
        <x:v>30.9429875454475</x:v>
      </x:c>
    </x:row>
    <x:row r="36">
      <x:c r="A36">
        <x:v>46078</x:v>
      </x:c>
      <x:c r="B36" t="s">
        <x:v>470</x:v>
      </x:c>
      <x:c r="C36" t="s">
        <x:v>472</x:v>
      </x:c>
      <x:c r="D36">
        <x:v>85</x:v>
      </x:c>
      <x:c r="E36">
        <x:v>0.516121197401178</x:v>
      </x:c>
    </x:row>
    <x:row r="37">
      <x:c r="A37">
        <x:v>46078</x:v>
      </x:c>
      <x:c r="B37" t="s">
        <x:v>470</x:v>
      </x:c>
      <x:c r="C37" t="s">
        <x:v>467</x:v>
      </x:c>
      <x:c r="D37">
        <x:v>1037</x:v>
      </x:c>
      <x:c r="E37">
        <x:v>6.64926870868252</x:v>
      </x:c>
    </x:row>
    <x:row r="38">
      <x:c r="A38">
        <x:v>46078</x:v>
      </x:c>
      <x:c r="B38" t="s">
        <x:v>470</x:v>
      </x:c>
      <x:c r="C38" t="s">
        <x:v>465</x:v>
      </x:c>
      <x:c r="D38">
        <x:v>576</x:v>
      </x:c>
      <x:c r="E38">
        <x:v>3.49748011415386</x:v>
      </x:c>
    </x:row>
    <x:row r="39">
      <x:c r="A39">
        <x:v>46077</x:v>
      </x:c>
      <x:c r="B39" t="s">
        <x:v>470</x:v>
      </x:c>
      <x:c r="C39" t="s">
        <x:v>465</x:v>
      </x:c>
      <x:c r="D39">
        <x:v>1008</x:v>
      </x:c>
      <x:c r="E39">
        <x:v>6.12059019976926</x:v>
      </x:c>
    </x:row>
    <x:row r="40">
      <x:c r="A40">
        <x:v>46077</x:v>
      </x:c>
      <x:c r="B40" t="s">
        <x:v>470</x:v>
      </x:c>
      <x:c r="C40" t="s">
        <x:v>474</x:v>
      </x:c>
      <x:c r="D40">
        <x:v>160</x:v>
      </x:c>
      <x:c r="E40">
        <x:v>0.94237383970221</x:v>
      </x:c>
    </x:row>
    <x:row r="41">
      <x:c r="A41">
        <x:v>46077</x:v>
      </x:c>
      <x:c r="B41" t="s">
        <x:v>473</x:v>
      </x:c>
      <x:c r="C41" t="s">
        <x:v>462</x:v>
      </x:c>
      <x:c r="D41">
        <x:v>2200</x:v>
      </x:c>
      <x:c r="E41">
        <x:v>13.0912639615355</x:v>
      </x:c>
    </x:row>
    <x:row r="42">
      <x:c r="A42">
        <x:v>46077</x:v>
      </x:c>
      <x:c r="B42" t="s">
        <x:v>463</x:v>
      </x:c>
      <x:c r="C42" t="s">
        <x:v>465</x:v>
      </x:c>
      <x:c r="D42">
        <x:v>1008</x:v>
      </x:c>
      <x:c r="E42">
        <x:v>6.12059019976926</x:v>
      </x:c>
    </x:row>
    <x:row r="43">
      <x:c r="A43">
        <x:v>46077</x:v>
      </x:c>
      <x:c r="B43" t="s">
        <x:v>463</x:v>
      </x:c>
      <x:c r="C43" t="s">
        <x:v>468</x:v>
      </x:c>
      <x:c r="D43">
        <x:v>3024</x:v>
      </x:c>
      <x:c r="E43">
        <x:v>18.3617705993078</x:v>
      </x:c>
    </x:row>
    <x:row r="44">
      <x:c r="A44">
        <x:v>46076</x:v>
      </x:c>
      <x:c r="B44" t="s">
        <x:v>476</x:v>
      </x:c>
      <x:c r="C44" t="s">
        <x:v>468</x:v>
      </x:c>
      <x:c r="D44">
        <x:v>288</x:v>
      </x:c>
      <x:c r="E44">
        <x:v>1.74874005707693</x:v>
      </x:c>
    </x:row>
    <x:row r="45">
      <x:c r="A45">
        <x:v>46076</x:v>
      </x:c>
      <x:c r="B45" t="s">
        <x:v>476</x:v>
      </x:c>
      <x:c r="C45" t="s">
        <x:v>477</x:v>
      </x:c>
      <x:c r="D45">
        <x:v>85</x:v>
      </x:c>
      <x:c r="E45">
        <x:v>0.619352958321189</x:v>
      </x:c>
    </x:row>
    <x:row r="46">
      <x:c r="A46">
        <x:v>46076</x:v>
      </x:c>
      <x:c r="B46" t="s">
        <x:v>476</x:v>
      </x:c>
      <x:c r="C46" t="s">
        <x:v>467</x:v>
      </x:c>
      <x:c r="D46">
        <x:v>170</x:v>
      </x:c>
      <x:c r="E46">
        <x:v>1.09004405060369</x:v>
      </x:c>
    </x:row>
    <x:row r="47">
      <x:c r="A47" t="s">
        <x:v>456</x:v>
      </x:c>
      <x:c r="B47"/>
      <x:c r="C47"/>
      <x:c r="D47"/>
      <x:c r="E47"/>
    </x:row>
    <x:row r="48">
      <x:c r="A48" t="s">
        <x:v>122</x:v>
      </x:c>
      <x:c r="B48"/>
      <x:c r="C48"/>
      <x:c r="D48"/>
      <x:c r="E48"/>
    </x:row>
    <x:row r="49">
      <x:c r="A49" t="s">
        <x:v>457</x:v>
      </x:c>
      <x:c r="B49" t="s">
        <x:v>458</x:v>
      </x:c>
      <x:c r="C49" t="s">
        <x:v>88</x:v>
      </x:c>
      <x:c r="D49" t="s">
        <x:v>459</x:v>
      </x:c>
      <x:c r="E49" t="s">
        <x:v>460</x:v>
      </x:c>
    </x:row>
    <x:row r="50">
      <x:c r="A50">
        <x:v>46076</x:v>
      </x:c>
      <x:c r="B50" t="s">
        <x:v>463</x:v>
      </x:c>
      <x:c r="C50" t="s">
        <x:v>466</x:v>
      </x:c>
      <x:c r="D50">
        <x:v>136</x:v>
      </x:c>
      <x:c r="E50">
        <x:v>0.990964733313903</x:v>
      </x:c>
    </x:row>
    <x:row r="51">
      <x:c r="A51">
        <x:v>46076</x:v>
      </x:c>
      <x:c r="B51" t="s">
        <x:v>476</x:v>
      </x:c>
      <x:c r="C51" t="s">
        <x:v>465</x:v>
      </x:c>
      <x:c r="D51">
        <x:v>288</x:v>
      </x:c>
      <x:c r="E51">
        <x:v>1.74874005707693</x:v>
      </x:c>
    </x:row>
    <x:row r="52">
      <x:c r="A52">
        <x:v>46076</x:v>
      </x:c>
      <x:c r="B52" t="s">
        <x:v>463</x:v>
      </x:c>
      <x:c r="C52" t="s">
        <x:v>478</x:v>
      </x:c>
      <x:c r="D52">
        <x:v>136</x:v>
      </x:c>
      <x:c r="E52">
        <x:v>0.990964733313903</x:v>
      </x:c>
    </x:row>
    <x:row r="53">
      <x:c r="A53">
        <x:v>46076</x:v>
      </x:c>
      <x:c r="B53" t="s">
        <x:v>463</x:v>
      </x:c>
      <x:c r="C53" t="s">
        <x:v>475</x:v>
      </x:c>
      <x:c r="D53">
        <x:v>136</x:v>
      </x:c>
      <x:c r="E53">
        <x:v>0.872035240482954</x:v>
      </x:c>
    </x:row>
    <x:row r="54">
      <x:c r="A54">
        <x:v>46076</x:v>
      </x:c>
      <x:c r="B54" t="s">
        <x:v>476</x:v>
      </x:c>
      <x:c r="C54" t="s">
        <x:v>477</x:v>
      </x:c>
      <x:c r="D54">
        <x:v>85</x:v>
      </x:c>
      <x:c r="E54">
        <x:v>0.619352958321189</x:v>
      </x:c>
    </x:row>
    <x:row r="55">
      <x:c r="A55">
        <x:v>46076</x:v>
      </x:c>
      <x:c r="B55" t="s">
        <x:v>476</x:v>
      </x:c>
      <x:c r="C55" t="s">
        <x:v>466</x:v>
      </x:c>
      <x:c r="D55">
        <x:v>85</x:v>
      </x:c>
      <x:c r="E55">
        <x:v>0.619352958321189</x:v>
      </x:c>
    </x:row>
    <x:row r="56">
      <x:c r="A56">
        <x:v>46076</x:v>
      </x:c>
      <x:c r="B56" t="s">
        <x:v>463</x:v>
      </x:c>
      <x:c r="C56" t="s">
        <x:v>468</x:v>
      </x:c>
      <x:c r="D56">
        <x:v>2268</x:v>
      </x:c>
      <x:c r="E56">
        <x:v>13.7713279494808</x:v>
      </x:c>
    </x:row>
    <x:row r="57">
      <x:c r="A57">
        <x:v>46076</x:v>
      </x:c>
      <x:c r="B57" t="s">
        <x:v>463</x:v>
      </x:c>
      <x:c r="C57" t="s">
        <x:v>467</x:v>
      </x:c>
      <x:c r="D57">
        <x:v>1496</x:v>
      </x:c>
      <x:c r="E57">
        <x:v>9.59238764531249</x:v>
      </x:c>
    </x:row>
    <x:row r="58">
      <x:c r="A58">
        <x:v>46066</x:v>
      </x:c>
      <x:c r="B58" t="s">
        <x:v>473</x:v>
      </x:c>
      <x:c r="C58" t="s">
        <x:v>462</x:v>
      </x:c>
      <x:c r="D58">
        <x:v>100</x:v>
      </x:c>
      <x:c r="E58">
        <x:v>0.595057452797068</x:v>
      </x:c>
    </x:row>
    <x:row r="59">
      <x:c r="A59">
        <x:v>46064</x:v>
      </x:c>
      <x:c r="B59" t="s">
        <x:v>470</x:v>
      </x:c>
      <x:c r="C59" t="s">
        <x:v>468</x:v>
      </x:c>
      <x:c r="D59">
        <x:v>756</x:v>
      </x:c>
      <x:c r="E59">
        <x:v>4.59044264982694</x:v>
      </x:c>
    </x:row>
    <x:row r="60">
      <x:c r="A60">
        <x:v>46064</x:v>
      </x:c>
      <x:c r="B60" t="s">
        <x:v>473</x:v>
      </x:c>
      <x:c r="C60" t="s">
        <x:v>462</x:v>
      </x:c>
      <x:c r="D60">
        <x:v>3100</x:v>
      </x:c>
      <x:c r="E60">
        <x:v>18.4467810367091</x:v>
      </x:c>
    </x:row>
    <x:row r="61">
      <x:c r="A61">
        <x:v>46064</x:v>
      </x:c>
      <x:c r="B61" t="s">
        <x:v>463</x:v>
      </x:c>
      <x:c r="C61" t="s">
        <x:v>465</x:v>
      </x:c>
      <x:c r="D61">
        <x:v>792</x:v>
      </x:c>
      <x:c r="E61">
        <x:v>4.80903515696156</x:v>
      </x:c>
    </x:row>
    <x:row r="62">
      <x:c r="A62">
        <x:v>46064</x:v>
      </x:c>
      <x:c r="B62" t="s">
        <x:v>463</x:v>
      </x:c>
      <x:c r="C62" t="s">
        <x:v>469</x:v>
      </x:c>
      <x:c r="D62">
        <x:v>20</x:v>
      </x:c>
      <x:c r="E62">
        <x:v>0.121440281741454</x:v>
      </x:c>
    </x:row>
    <x:row r="63">
      <x:c r="A63">
        <x:v>46064</x:v>
      </x:c>
      <x:c r="B63" t="s">
        <x:v>463</x:v>
      </x:c>
      <x:c r="C63" t="s">
        <x:v>468</x:v>
      </x:c>
      <x:c r="D63">
        <x:v>792</x:v>
      </x:c>
      <x:c r="E63">
        <x:v>4.80903515696156</x:v>
      </x:c>
    </x:row>
    <x:row r="64">
      <x:c r="A64">
        <x:v>46064</x:v>
      </x:c>
      <x:c r="B64" t="s">
        <x:v>476</x:v>
      </x:c>
      <x:c r="C64" t="s">
        <x:v>467</x:v>
      </x:c>
      <x:c r="D64">
        <x:v>1396</x:v>
      </x:c>
      <x:c r="E64">
        <x:v>8.95118526260443</x:v>
      </x:c>
    </x:row>
    <x:row r="65">
      <x:c r="A65">
        <x:v>46064</x:v>
      </x:c>
      <x:c r="B65" t="s">
        <x:v>476</x:v>
      </x:c>
      <x:c r="C65" t="s">
        <x:v>479</x:v>
      </x:c>
      <x:c r="D65">
        <x:v>170</x:v>
      </x:c>
      <x:c r="E65">
        <x:v>1.09004405060369</x:v>
      </x:c>
    </x:row>
    <x:row r="66">
      <x:c r="A66">
        <x:v>46064</x:v>
      </x:c>
      <x:c r="B66" t="s">
        <x:v>476</x:v>
      </x:c>
      <x:c r="C66" t="s">
        <x:v>465</x:v>
      </x:c>
      <x:c r="D66">
        <x:v>1440</x:v>
      </x:c>
      <x:c r="E66">
        <x:v>8.74370028538466</x:v>
      </x:c>
    </x:row>
    <x:row r="67">
      <x:c r="A67">
        <x:v>46064</x:v>
      </x:c>
      <x:c r="B67" t="s">
        <x:v>476</x:v>
      </x:c>
      <x:c r="C67" t="s">
        <x:v>469</x:v>
      </x:c>
      <x:c r="D67">
        <x:v>30</x:v>
      </x:c>
      <x:c r="E67">
        <x:v>0.18216042261218</x:v>
      </x:c>
    </x:row>
    <x:row r="68">
      <x:c r="A68">
        <x:v>46063</x:v>
      </x:c>
      <x:c r="B68" t="s">
        <x:v>476</x:v>
      </x:c>
      <x:c r="C68" t="s">
        <x:v>466</x:v>
      </x:c>
      <x:c r="D68">
        <x:v>340</x:v>
      </x:c>
      <x:c r="E68">
        <x:v>2.47741183328476</x:v>
      </x:c>
    </x:row>
    <x:row r="69">
      <x:c r="A69">
        <x:v>46063</x:v>
      </x:c>
      <x:c r="B69" t="s">
        <x:v>476</x:v>
      </x:c>
      <x:c r="C69" t="s">
        <x:v>474</x:v>
      </x:c>
      <x:c r="D69">
        <x:v>100</x:v>
      </x:c>
      <x:c r="E69">
        <x:v>0.588983649813881</x:v>
      </x:c>
    </x:row>
    <x:row r="70">
      <x:c r="A70" t="s">
        <x:v>456</x:v>
      </x:c>
      <x:c r="B70"/>
      <x:c r="C70"/>
      <x:c r="D70"/>
      <x:c r="E70"/>
    </x:row>
    <x:row r="71">
      <x:c r="A71" t="s">
        <x:v>122</x:v>
      </x:c>
      <x:c r="B71"/>
      <x:c r="C71"/>
      <x:c r="D71"/>
      <x:c r="E71"/>
    </x:row>
    <x:row r="72">
      <x:c r="A72" t="s">
        <x:v>457</x:v>
      </x:c>
      <x:c r="B72" t="s">
        <x:v>458</x:v>
      </x:c>
      <x:c r="C72" t="s">
        <x:v>88</x:v>
      </x:c>
      <x:c r="D72" t="s">
        <x:v>459</x:v>
      </x:c>
      <x:c r="E72" t="s">
        <x:v>460</x:v>
      </x:c>
    </x:row>
    <x:row r="73">
      <x:c r="A73">
        <x:v>46063</x:v>
      </x:c>
      <x:c r="B73" t="s">
        <x:v>476</x:v>
      </x:c>
      <x:c r="C73" t="s">
        <x:v>479</x:v>
      </x:c>
      <x:c r="D73">
        <x:v>170</x:v>
      </x:c>
      <x:c r="E73">
        <x:v>1.09004405060369</x:v>
      </x:c>
    </x:row>
    <x:row r="74">
      <x:c r="A74">
        <x:v>46063</x:v>
      </x:c>
      <x:c r="B74" t="s">
        <x:v>476</x:v>
      </x:c>
      <x:c r="C74" t="s">
        <x:v>468</x:v>
      </x:c>
      <x:c r="D74">
        <x:v>1296</x:v>
      </x:c>
      <x:c r="E74">
        <x:v>7.86933025684619</x:v>
      </x:c>
    </x:row>
    <x:row r="75">
      <x:c r="A75">
        <x:v>46063</x:v>
      </x:c>
      <x:c r="B75" t="s">
        <x:v>480</x:v>
      </x:c>
      <x:c r="C75" t="s">
        <x:v>481</x:v>
      </x:c>
      <x:c r="D75">
        <x:v>130</x:v>
      </x:c>
      <x:c r="E75">
        <x:v>2.63120610439816</x:v>
      </x:c>
    </x:row>
    <x:row r="76">
      <x:c r="A76">
        <x:v>46063</x:v>
      </x:c>
      <x:c r="B76" t="s">
        <x:v>476</x:v>
      </x:c>
      <x:c r="C76" t="s">
        <x:v>465</x:v>
      </x:c>
      <x:c r="D76">
        <x:v>720</x:v>
      </x:c>
      <x:c r="E76">
        <x:v>4.37185014269233</x:v>
      </x:c>
    </x:row>
    <x:row r="77">
      <x:c r="A77">
        <x:v>46063</x:v>
      </x:c>
      <x:c r="B77" t="s">
        <x:v>476</x:v>
      </x:c>
      <x:c r="C77" t="s">
        <x:v>462</x:v>
      </x:c>
      <x:c r="D77">
        <x:v>110</x:v>
      </x:c>
      <x:c r="E77">
        <x:v>0.654563198076775</x:v>
      </x:c>
    </x:row>
    <x:row r="78">
      <x:c r="A78">
        <x:v>46063</x:v>
      </x:c>
      <x:c r="B78" t="s">
        <x:v>476</x:v>
      </x:c>
      <x:c r="C78" t="s">
        <x:v>477</x:v>
      </x:c>
      <x:c r="D78">
        <x:v>340</x:v>
      </x:c>
      <x:c r="E78">
        <x:v>2.47741183328475</x:v>
      </x:c>
    </x:row>
    <x:row r="79">
      <x:c r="A79">
        <x:v>46063</x:v>
      </x:c>
      <x:c r="B79" t="s">
        <x:v>470</x:v>
      </x:c>
      <x:c r="C79" t="s">
        <x:v>468</x:v>
      </x:c>
      <x:c r="D79">
        <x:v>1260</x:v>
      </x:c>
      <x:c r="E79">
        <x:v>7.65073774971158</x:v>
      </x:c>
    </x:row>
    <x:row r="80">
      <x:c r="A80">
        <x:v>46063</x:v>
      </x:c>
      <x:c r="B80" t="s">
        <x:v>470</x:v>
      </x:c>
      <x:c r="C80" t="s">
        <x:v>475</x:v>
      </x:c>
      <x:c r="D80">
        <x:v>136</x:v>
      </x:c>
      <x:c r="E80">
        <x:v>0.872035240482954</x:v>
      </x:c>
    </x:row>
    <x:row r="81">
      <x:c r="A81">
        <x:v>46063</x:v>
      </x:c>
      <x:c r="B81" t="s">
        <x:v>480</x:v>
      </x:c>
      <x:c r="C81" t="s">
        <x:v>482</x:v>
      </x:c>
      <x:c r="D81">
        <x:v>130</x:v>
      </x:c>
      <x:c r="E81">
        <x:v>2.63120610439816</x:v>
      </x:c>
    </x:row>
    <x:row r="82">
      <x:c r="A82">
        <x:v>46063</x:v>
      </x:c>
      <x:c r="B82" t="s">
        <x:v>476</x:v>
      </x:c>
      <x:c r="C82" t="s">
        <x:v>466</x:v>
      </x:c>
      <x:c r="D82">
        <x:v>340</x:v>
      </x:c>
      <x:c r="E82">
        <x:v>2.47741183328476</x:v>
      </x:c>
    </x:row>
    <x:row r="83">
      <x:c r="A83">
        <x:v>46063</x:v>
      </x:c>
      <x:c r="B83" t="s">
        <x:v>476</x:v>
      </x:c>
      <x:c r="C83" t="s">
        <x:v>474</x:v>
      </x:c>
      <x:c r="D83">
        <x:v>100</x:v>
      </x:c>
      <x:c r="E83">
        <x:v>0.588983649813881</x:v>
      </x:c>
    </x:row>
    <x:row r="84">
      <x:c r="A84">
        <x:v>46063</x:v>
      </x:c>
      <x:c r="B84" t="s">
        <x:v>476</x:v>
      </x:c>
      <x:c r="C84" t="s">
        <x:v>464</x:v>
      </x:c>
      <x:c r="D84">
        <x:v>30</x:v>
      </x:c>
      <x:c r="E84">
        <x:v>0.17851723583912</x:v>
      </x:c>
    </x:row>
    <x:row r="85">
      <x:c r="A85">
        <x:v>46062</x:v>
      </x:c>
      <x:c r="B85" t="s">
        <x:v>463</x:v>
      </x:c>
      <x:c r="C85" t="s">
        <x:v>483</x:v>
      </x:c>
      <x:c r="D85">
        <x:v>272</x:v>
      </x:c>
      <x:c r="E85">
        <x:v>1.9819294666278</x:v>
      </x:c>
    </x:row>
    <x:row r="86">
      <x:c r="A86">
        <x:v>46062</x:v>
      </x:c>
      <x:c r="B86" t="s">
        <x:v>463</x:v>
      </x:c>
      <x:c r="C86" t="s">
        <x:v>466</x:v>
      </x:c>
      <x:c r="D86">
        <x:v>340</x:v>
      </x:c>
      <x:c r="E86">
        <x:v>2.47741183328476</x:v>
      </x:c>
    </x:row>
    <x:row r="87">
      <x:c r="A87">
        <x:v>46062</x:v>
      </x:c>
      <x:c r="B87" t="s">
        <x:v>463</x:v>
      </x:c>
      <x:c r="C87" t="s">
        <x:v>462</x:v>
      </x:c>
      <x:c r="D87">
        <x:v>110</x:v>
      </x:c>
      <x:c r="E87">
        <x:v>0.654563198076774</x:v>
      </x:c>
    </x:row>
    <x:row r="88">
      <x:c r="A88">
        <x:v>46062</x:v>
      </x:c>
      <x:c r="B88" t="s">
        <x:v>463</x:v>
      </x:c>
      <x:c r="C88" t="s">
        <x:v>484</x:v>
      </x:c>
      <x:c r="D88">
        <x:v>255</x:v>
      </x:c>
      <x:c r="E88">
        <x:v>1.85805887496357</x:v>
      </x:c>
    </x:row>
    <x:row r="89">
      <x:c r="A89">
        <x:v>46062</x:v>
      </x:c>
      <x:c r="B89" t="s">
        <x:v>463</x:v>
      </x:c>
      <x:c r="C89" t="s">
        <x:v>467</x:v>
      </x:c>
      <x:c r="D89">
        <x:v>170</x:v>
      </x:c>
      <x:c r="E89">
        <x:v>1.09004405060369</x:v>
      </x:c>
    </x:row>
    <x:row r="90">
      <x:c r="A90">
        <x:v>46062</x:v>
      </x:c>
      <x:c r="B90" t="s">
        <x:v>463</x:v>
      </x:c>
      <x:c r="C90" t="s">
        <x:v>477</x:v>
      </x:c>
      <x:c r="D90">
        <x:v>272</x:v>
      </x:c>
      <x:c r="E90">
        <x:v>1.9819294666278</x:v>
      </x:c>
    </x:row>
    <x:row r="91">
      <x:c r="A91">
        <x:v>46062</x:v>
      </x:c>
      <x:c r="B91" t="s">
        <x:v>461</x:v>
      </x:c>
      <x:c r="C91" t="s">
        <x:v>484</x:v>
      </x:c>
      <x:c r="D91">
        <x:v>1088</x:v>
      </x:c>
      <x:c r="E91">
        <x:v>7.92771786651122</x:v>
      </x:c>
    </x:row>
    <x:row r="92">
      <x:c r="A92">
        <x:v>46062</x:v>
      </x:c>
      <x:c r="B92" t="s">
        <x:v>476</x:v>
      </x:c>
      <x:c r="C92" t="s">
        <x:v>474</x:v>
      </x:c>
      <x:c r="D92">
        <x:v>100</x:v>
      </x:c>
      <x:c r="E92">
        <x:v>0.588983649813881</x:v>
      </x:c>
    </x:row>
    <x:row r="93">
      <x:c r="A93" t="s">
        <x:v>456</x:v>
      </x:c>
      <x:c r="B93"/>
      <x:c r="C93"/>
      <x:c r="D93"/>
      <x:c r="E93"/>
    </x:row>
    <x:row r="94">
      <x:c r="A94" t="s">
        <x:v>122</x:v>
      </x:c>
      <x:c r="B94"/>
      <x:c r="C94"/>
      <x:c r="D94"/>
      <x:c r="E94"/>
    </x:row>
    <x:row r="95">
      <x:c r="A95" t="s">
        <x:v>457</x:v>
      </x:c>
      <x:c r="B95" t="s">
        <x:v>458</x:v>
      </x:c>
      <x:c r="C95" t="s">
        <x:v>88</x:v>
      </x:c>
      <x:c r="D95" t="s">
        <x:v>459</x:v>
      </x:c>
      <x:c r="E95" t="s">
        <x:v>460</x:v>
      </x:c>
    </x:row>
    <x:row r="96">
      <x:c r="A96">
        <x:v>46062</x:v>
      </x:c>
      <x:c r="B96" t="s">
        <x:v>476</x:v>
      </x:c>
      <x:c r="C96" t="s">
        <x:v>477</x:v>
      </x:c>
      <x:c r="D96">
        <x:v>170</x:v>
      </x:c>
      <x:c r="E96">
        <x:v>1.23870591664238</x:v>
      </x:c>
    </x:row>
    <x:row r="97">
      <x:c r="A97">
        <x:v>46062</x:v>
      </x:c>
      <x:c r="B97" t="s">
        <x:v>476</x:v>
      </x:c>
      <x:c r="C97" t="s">
        <x:v>468</x:v>
      </x:c>
      <x:c r="D97">
        <x:v>1008</x:v>
      </x:c>
      <x:c r="E97">
        <x:v>6.12059019976926</x:v>
      </x:c>
    </x:row>
    <x:row r="98">
      <x:c r="A98">
        <x:v>46062</x:v>
      </x:c>
      <x:c r="B98" t="s">
        <x:v>476</x:v>
      </x:c>
      <x:c r="C98" t="s">
        <x:v>465</x:v>
      </x:c>
      <x:c r="D98">
        <x:v>1008</x:v>
      </x:c>
      <x:c r="E98">
        <x:v>6.12059019976926</x:v>
      </x:c>
    </x:row>
    <x:row r="99">
      <x:c r="A99">
        <x:v>46062</x:v>
      </x:c>
      <x:c r="B99" t="s">
        <x:v>461</x:v>
      </x:c>
      <x:c r="C99" t="s">
        <x:v>468</x:v>
      </x:c>
      <x:c r="D99">
        <x:v>630</x:v>
      </x:c>
      <x:c r="E99">
        <x:v>3.82536887485579</x:v>
      </x:c>
    </x:row>
    <x:row r="100">
      <x:c r="A100">
        <x:v>46062</x:v>
      </x:c>
      <x:c r="B100" t="s">
        <x:v>463</x:v>
      </x:c>
      <x:c r="C100" t="s">
        <x:v>466</x:v>
      </x:c>
      <x:c r="D100">
        <x:v>340</x:v>
      </x:c>
      <x:c r="E100">
        <x:v>2.47741183328476</x:v>
      </x:c>
    </x:row>
    <x:row r="101">
      <x:c r="A101">
        <x:v>46062</x:v>
      </x:c>
      <x:c r="B101" t="s">
        <x:v>461</x:v>
      </x:c>
      <x:c r="C101" t="s">
        <x:v>484</x:v>
      </x:c>
      <x:c r="D101">
        <x:v>1088</x:v>
      </x:c>
      <x:c r="E101">
        <x:v>7.92771786651122</x:v>
      </x:c>
    </x:row>
    <x:row r="102">
      <x:c r="A102">
        <x:v>46062</x:v>
      </x:c>
      <x:c r="B102" t="s">
        <x:v>461</x:v>
      </x:c>
      <x:c r="C102" t="s">
        <x:v>467</x:v>
      </x:c>
      <x:c r="D102">
        <x:v>816</x:v>
      </x:c>
      <x:c r="E102">
        <x:v>5.23221144289772</x:v>
      </x:c>
    </x:row>
    <x:row r="103">
      <x:c r="A103">
        <x:v>46062</x:v>
      </x:c>
      <x:c r="B103" t="s">
        <x:v>463</x:v>
      </x:c>
      <x:c r="C103" t="s">
        <x:v>467</x:v>
      </x:c>
      <x:c r="D103">
        <x:v>170</x:v>
      </x:c>
      <x:c r="E103">
        <x:v>1.09004405060369</x:v>
      </x:c>
    </x:row>
    <x:row r="104">
      <x:c r="A104">
        <x:v>46062</x:v>
      </x:c>
      <x:c r="B104" t="s">
        <x:v>463</x:v>
      </x:c>
      <x:c r="C104" t="s">
        <x:v>462</x:v>
      </x:c>
      <x:c r="D104">
        <x:v>110</x:v>
      </x:c>
      <x:c r="E104">
        <x:v>0.654563198076774</x:v>
      </x:c>
    </x:row>
    <x:row r="105">
      <x:c r="A105">
        <x:v>46062</x:v>
      </x:c>
      <x:c r="B105" t="s">
        <x:v>463</x:v>
      </x:c>
      <x:c r="C105" t="s">
        <x:v>484</x:v>
      </x:c>
      <x:c r="D105">
        <x:v>255</x:v>
      </x:c>
      <x:c r="E105">
        <x:v>1.85805887496357</x:v>
      </x:c>
    </x:row>
    <x:row r="106">
      <x:c r="A106">
        <x:v>46062</x:v>
      </x:c>
      <x:c r="B106" t="s">
        <x:v>461</x:v>
      </x:c>
      <x:c r="C106" t="s">
        <x:v>466</x:v>
      </x:c>
      <x:c r="D106">
        <x:v>204</x:v>
      </x:c>
      <x:c r="E106">
        <x:v>1.48644709997085</x:v>
      </x:c>
    </x:row>
    <x:row r="107">
      <x:c r="A107">
        <x:v>46062</x:v>
      </x:c>
      <x:c r="B107" t="s">
        <x:v>473</x:v>
      </x:c>
      <x:c r="C107" t="s">
        <x:v>462</x:v>
      </x:c>
      <x:c r="D107">
        <x:v>7200</x:v>
      </x:c>
      <x:c r="E107">
        <x:v>42.8441366013889</x:v>
      </x:c>
    </x:row>
    <x:row r="108">
      <x:c r="A108">
        <x:v>46062</x:v>
      </x:c>
      <x:c r="B108" t="s">
        <x:v>463</x:v>
      </x:c>
      <x:c r="C108" t="s">
        <x:v>477</x:v>
      </x:c>
      <x:c r="D108">
        <x:v>272</x:v>
      </x:c>
      <x:c r="E108">
        <x:v>1.9819294666278</x:v>
      </x:c>
    </x:row>
    <x:row r="109">
      <x:c r="A109">
        <x:v>46062</x:v>
      </x:c>
      <x:c r="B109" t="s">
        <x:v>463</x:v>
      </x:c>
      <x:c r="C109" t="s">
        <x:v>483</x:v>
      </x:c>
      <x:c r="D109">
        <x:v>272</x:v>
      </x:c>
      <x:c r="E109">
        <x:v>1.9819294666278</x:v>
      </x:c>
    </x:row>
    <x:row r="110">
      <x:c r="A110">
        <x:v>46061</x:v>
      </x:c>
      <x:c r="B110" t="s">
        <x:v>476</x:v>
      </x:c>
      <x:c r="C110" t="s">
        <x:v>475</x:v>
      </x:c>
      <x:c r="D110">
        <x:v>680</x:v>
      </x:c>
      <x:c r="E110">
        <x:v>4.36017620241477</x:v>
      </x:c>
    </x:row>
    <x:row r="111">
      <x:c r="A111">
        <x:v>46061</x:v>
      </x:c>
      <x:c r="B111" t="s">
        <x:v>476</x:v>
      </x:c>
      <x:c r="C111" t="s">
        <x:v>462</x:v>
      </x:c>
      <x:c r="D111">
        <x:v>528</x:v>
      </x:c>
      <x:c r="E111">
        <x:v>3.14190335076852</x:v>
      </x:c>
    </x:row>
    <x:row r="112">
      <x:c r="A112">
        <x:v>46061</x:v>
      </x:c>
      <x:c r="B112" t="s">
        <x:v>476</x:v>
      </x:c>
      <x:c r="C112" t="s">
        <x:v>474</x:v>
      </x:c>
      <x:c r="D112">
        <x:v>320</x:v>
      </x:c>
      <x:c r="E112">
        <x:v>1.88474767940442</x:v>
      </x:c>
    </x:row>
    <x:row r="113">
      <x:c r="A113">
        <x:v>46061</x:v>
      </x:c>
      <x:c r="B113" t="s">
        <x:v>476</x:v>
      </x:c>
      <x:c r="C113" t="s">
        <x:v>467</x:v>
      </x:c>
      <x:c r="D113">
        <x:v>1445</x:v>
      </x:c>
      <x:c r="E113">
        <x:v>9.26537443013138</x:v>
      </x:c>
    </x:row>
    <x:row r="114">
      <x:c r="A114">
        <x:v>46061</x:v>
      </x:c>
      <x:c r="B114" t="s">
        <x:v>463</x:v>
      </x:c>
      <x:c r="C114" t="s">
        <x:v>483</x:v>
      </x:c>
      <x:c r="D114">
        <x:v>2856</x:v>
      </x:c>
      <x:c r="E114">
        <x:v>20.810259399592</x:v>
      </x:c>
    </x:row>
    <x:row r="115">
      <x:c r="A115">
        <x:v>46061</x:v>
      </x:c>
      <x:c r="B115" t="s">
        <x:v>461</x:v>
      </x:c>
      <x:c r="C115" t="s">
        <x:v>467</x:v>
      </x:c>
      <x:c r="D115">
        <x:v>2295</x:v>
      </x:c>
      <x:c r="E115">
        <x:v>14.7155946831498</x:v>
      </x:c>
    </x:row>
    <x:row r="116">
      <x:c r="A116" t="s">
        <x:v>456</x:v>
      </x:c>
      <x:c r="B116"/>
      <x:c r="C116"/>
      <x:c r="D116"/>
      <x:c r="E116"/>
    </x:row>
    <x:row r="117">
      <x:c r="A117" t="s">
        <x:v>122</x:v>
      </x:c>
      <x:c r="B117"/>
      <x:c r="C117"/>
      <x:c r="D117"/>
      <x:c r="E117"/>
    </x:row>
    <x:row r="118">
      <x:c r="A118" t="s">
        <x:v>457</x:v>
      </x:c>
      <x:c r="B118" t="s">
        <x:v>458</x:v>
      </x:c>
      <x:c r="C118" t="s">
        <x:v>88</x:v>
      </x:c>
      <x:c r="D118" t="s">
        <x:v>459</x:v>
      </x:c>
      <x:c r="E118" t="s">
        <x:v>460</x:v>
      </x:c>
    </x:row>
    <x:row r="119">
      <x:c r="A119">
        <x:v>46061</x:v>
      </x:c>
      <x:c r="B119" t="s">
        <x:v>476</x:v>
      </x:c>
      <x:c r="C119" t="s">
        <x:v>467</x:v>
      </x:c>
      <x:c r="D119">
        <x:v>1445</x:v>
      </x:c>
      <x:c r="E119">
        <x:v>9.26537443013138</x:v>
      </x:c>
    </x:row>
    <x:row r="120">
      <x:c r="A120">
        <x:v>46061</x:v>
      </x:c>
      <x:c r="B120" t="s">
        <x:v>463</x:v>
      </x:c>
      <x:c r="C120" t="s">
        <x:v>485</x:v>
      </x:c>
      <x:c r="D120">
        <x:v>68</x:v>
      </x:c>
      <x:c r="E120">
        <x:v>0.436017620241477</x:v>
      </x:c>
    </x:row>
    <x:row r="121">
      <x:c r="A121">
        <x:v>46061</x:v>
      </x:c>
      <x:c r="B121" t="s">
        <x:v>470</x:v>
      </x:c>
      <x:c r="C121" t="s">
        <x:v>475</x:v>
      </x:c>
      <x:c r="D121">
        <x:v>136</x:v>
      </x:c>
      <x:c r="E121">
        <x:v>0.872035240482954</x:v>
      </x:c>
    </x:row>
    <x:row r="122">
      <x:c r="A122">
        <x:v>46061</x:v>
      </x:c>
      <x:c r="B122" t="s">
        <x:v>463</x:v>
      </x:c>
      <x:c r="C122" t="s">
        <x:v>486</x:v>
      </x:c>
      <x:c r="D122">
        <x:v>100</x:v>
      </x:c>
      <x:c r="E122">
        <x:v>0.80150683284575</x:v>
      </x:c>
    </x:row>
    <x:row r="123">
      <x:c r="A123">
        <x:v>46061</x:v>
      </x:c>
      <x:c r="B123" t="s">
        <x:v>470</x:v>
      </x:c>
      <x:c r="C123" t="s">
        <x:v>467</x:v>
      </x:c>
      <x:c r="D123">
        <x:v>816</x:v>
      </x:c>
      <x:c r="E123">
        <x:v>5.23221144289772</x:v>
      </x:c>
    </x:row>
    <x:row r="124">
      <x:c r="A124">
        <x:v>46061</x:v>
      </x:c>
      <x:c r="B124" t="s">
        <x:v>463</x:v>
      </x:c>
      <x:c r="C124" t="s">
        <x:v>487</x:v>
      </x:c>
      <x:c r="D124">
        <x:v>400</x:v>
      </x:c>
      <x:c r="E124">
        <x:v>3.206027331383</x:v>
      </x:c>
    </x:row>
    <x:row r="125">
      <x:c r="A125">
        <x:v>46061</x:v>
      </x:c>
      <x:c r="B125" t="s">
        <x:v>463</x:v>
      </x:c>
      <x:c r="C125" t="s">
        <x:v>477</x:v>
      </x:c>
      <x:c r="D125">
        <x:v>434</x:v>
      </x:c>
      <x:c r="E125">
        <x:v>3.16234334013407</x:v>
      </x:c>
    </x:row>
    <x:row r="126">
      <x:c r="A126">
        <x:v>46061</x:v>
      </x:c>
      <x:c r="B126" t="s">
        <x:v>476</x:v>
      </x:c>
      <x:c r="C126" t="s">
        <x:v>475</x:v>
      </x:c>
      <x:c r="D126">
        <x:v>680</x:v>
      </x:c>
      <x:c r="E126">
        <x:v>4.36017620241477</x:v>
      </x:c>
    </x:row>
    <x:row r="127">
      <x:c r="A127">
        <x:v>46061</x:v>
      </x:c>
      <x:c r="B127" t="s">
        <x:v>476</x:v>
      </x:c>
      <x:c r="C127" t="s">
        <x:v>471</x:v>
      </x:c>
      <x:c r="D127">
        <x:v>78</x:v>
      </x:c>
      <x:c r="E127">
        <x:v>0.473617098791669</x:v>
      </x:c>
    </x:row>
    <x:row r="128">
      <x:c r="A128">
        <x:v>46061</x:v>
      </x:c>
      <x:c r="B128" t="s">
        <x:v>476</x:v>
      </x:c>
      <x:c r="C128" t="s">
        <x:v>464</x:v>
      </x:c>
      <x:c r="D128">
        <x:v>30</x:v>
      </x:c>
      <x:c r="E128">
        <x:v>0.17851723583912</x:v>
      </x:c>
    </x:row>
    <x:row r="129">
      <x:c r="A129">
        <x:v>46061</x:v>
      </x:c>
      <x:c r="B129" t="s">
        <x:v>476</x:v>
      </x:c>
      <x:c r="C129" t="s">
        <x:v>462</x:v>
      </x:c>
      <x:c r="D129">
        <x:v>528</x:v>
      </x:c>
      <x:c r="E129">
        <x:v>3.14190335076852</x:v>
      </x:c>
    </x:row>
    <x:row r="130">
      <x:c r="A130">
        <x:v>46061</x:v>
      </x:c>
      <x:c r="B130" t="s">
        <x:v>476</x:v>
      </x:c>
      <x:c r="C130" t="s">
        <x:v>474</x:v>
      </x:c>
      <x:c r="D130">
        <x:v>320</x:v>
      </x:c>
      <x:c r="E130">
        <x:v>1.88474767940442</x:v>
      </x:c>
    </x:row>
    <x:row r="131">
      <x:c r="A131">
        <x:v>46060</x:v>
      </x:c>
      <x:c r="B131" t="s">
        <x:v>470</x:v>
      </x:c>
      <x:c r="C131" t="s">
        <x:v>462</x:v>
      </x:c>
      <x:c r="D131">
        <x:v>110</x:v>
      </x:c>
      <x:c r="E131">
        <x:v>0.654563198076774</x:v>
      </x:c>
    </x:row>
    <x:row r="132">
      <x:c r="A132">
        <x:v>46060</x:v>
      </x:c>
      <x:c r="B132" t="s">
        <x:v>470</x:v>
      </x:c>
      <x:c r="C132" t="s">
        <x:v>488</x:v>
      </x:c>
      <x:c r="D132">
        <x:v>126</x:v>
      </x:c>
      <x:c r="E132">
        <x:v>0.765073774971158</x:v>
      </x:c>
    </x:row>
    <x:row r="133">
      <x:c r="A133">
        <x:v>46060</x:v>
      </x:c>
      <x:c r="B133" t="s">
        <x:v>470</x:v>
      </x:c>
      <x:c r="C133" t="s">
        <x:v>479</x:v>
      </x:c>
      <x:c r="D133">
        <x:v>136</x:v>
      </x:c>
      <x:c r="E133">
        <x:v>0.872035240482954</x:v>
      </x:c>
    </x:row>
    <x:row r="134">
      <x:c r="A134">
        <x:v>46060</x:v>
      </x:c>
      <x:c r="B134" t="s">
        <x:v>461</x:v>
      </x:c>
      <x:c r="C134" t="s">
        <x:v>465</x:v>
      </x:c>
      <x:c r="D134">
        <x:v>2016</x:v>
      </x:c>
      <x:c r="E134">
        <x:v>12.2411803995385</x:v>
      </x:c>
    </x:row>
    <x:row r="135">
      <x:c r="A135">
        <x:v>46060</x:v>
      </x:c>
      <x:c r="B135" t="s">
        <x:v>461</x:v>
      </x:c>
      <x:c r="C135" t="s">
        <x:v>484</x:v>
      </x:c>
      <x:c r="D135">
        <x:v>340</x:v>
      </x:c>
      <x:c r="E135">
        <x:v>2.47741183328476</x:v>
      </x:c>
    </x:row>
    <x:row r="136">
      <x:c r="A136">
        <x:v>46060</x:v>
      </x:c>
      <x:c r="B136" t="s">
        <x:v>476</x:v>
      </x:c>
      <x:c r="C136" t="s">
        <x:v>474</x:v>
      </x:c>
      <x:c r="D136">
        <x:v>300</x:v>
      </x:c>
      <x:c r="E136">
        <x:v>1.76695094944164</x:v>
      </x:c>
    </x:row>
    <x:row r="137">
      <x:c r="A137">
        <x:v>46060</x:v>
      </x:c>
      <x:c r="B137" t="s">
        <x:v>470</x:v>
      </x:c>
      <x:c r="C137" t="s">
        <x:v>467</x:v>
      </x:c>
      <x:c r="D137">
        <x:v>425</x:v>
      </x:c>
      <x:c r="E137">
        <x:v>2.72511012650923</x:v>
      </x:c>
    </x:row>
    <x:row r="138">
      <x:c r="A138">
        <x:v>46060</x:v>
      </x:c>
      <x:c r="B138" t="s">
        <x:v>476</x:v>
      </x:c>
      <x:c r="C138" t="s">
        <x:v>464</x:v>
      </x:c>
      <x:c r="D138">
        <x:v>20</x:v>
      </x:c>
      <x:c r="E138">
        <x:v>0.119011490559414</x:v>
      </x:c>
    </x:row>
    <x:row r="139">
      <x:c r="A139" t="s">
        <x:v>456</x:v>
      </x:c>
      <x:c r="B139"/>
      <x:c r="C139"/>
      <x:c r="D139"/>
      <x:c r="E139"/>
    </x:row>
    <x:row r="140">
      <x:c r="A140" t="s">
        <x:v>122</x:v>
      </x:c>
      <x:c r="B140"/>
      <x:c r="C140"/>
      <x:c r="D140"/>
      <x:c r="E140"/>
    </x:row>
    <x:row r="141">
      <x:c r="A141" t="s">
        <x:v>457</x:v>
      </x:c>
      <x:c r="B141" t="s">
        <x:v>458</x:v>
      </x:c>
      <x:c r="C141" t="s">
        <x:v>88</x:v>
      </x:c>
      <x:c r="D141" t="s">
        <x:v>459</x:v>
      </x:c>
      <x:c r="E141" t="s">
        <x:v>460</x:v>
      </x:c>
    </x:row>
    <x:row r="142">
      <x:c r="A142">
        <x:v>46060</x:v>
      </x:c>
      <x:c r="B142" t="s">
        <x:v>461</x:v>
      </x:c>
      <x:c r="C142" t="s">
        <x:v>465</x:v>
      </x:c>
      <x:c r="D142">
        <x:v>2016</x:v>
      </x:c>
      <x:c r="E142">
        <x:v>12.2411803995385</x:v>
      </x:c>
    </x:row>
    <x:row r="143">
      <x:c r="A143">
        <x:v>46060</x:v>
      </x:c>
      <x:c r="B143" t="s">
        <x:v>461</x:v>
      </x:c>
      <x:c r="C143" t="s">
        <x:v>484</x:v>
      </x:c>
      <x:c r="D143">
        <x:v>340</x:v>
      </x:c>
      <x:c r="E143">
        <x:v>2.47741183328476</x:v>
      </x:c>
    </x:row>
    <x:row r="144">
      <x:c r="A144">
        <x:v>46060</x:v>
      </x:c>
      <x:c r="B144" t="s">
        <x:v>476</x:v>
      </x:c>
      <x:c r="C144" t="s">
        <x:v>489</x:v>
      </x:c>
      <x:c r="D144">
        <x:v>85</x:v>
      </x:c>
      <x:c r="E144">
        <x:v>0.66063545358453</x:v>
      </x:c>
    </x:row>
    <x:row r="145">
      <x:c r="A145">
        <x:v>46060</x:v>
      </x:c>
      <x:c r="B145" t="s">
        <x:v>470</x:v>
      </x:c>
      <x:c r="C145" t="s">
        <x:v>488</x:v>
      </x:c>
      <x:c r="D145">
        <x:v>126</x:v>
      </x:c>
      <x:c r="E145">
        <x:v>0.765073774971158</x:v>
      </x:c>
    </x:row>
    <x:row r="146">
      <x:c r="A146">
        <x:v>46060</x:v>
      </x:c>
      <x:c r="B146" t="s">
        <x:v>470</x:v>
      </x:c>
      <x:c r="C146" t="s">
        <x:v>468</x:v>
      </x:c>
      <x:c r="D146">
        <x:v>2016</x:v>
      </x:c>
      <x:c r="E146">
        <x:v>12.2411803995385</x:v>
      </x:c>
    </x:row>
    <x:row r="147">
      <x:c r="A147">
        <x:v>46060</x:v>
      </x:c>
      <x:c r="B147" t="s">
        <x:v>470</x:v>
      </x:c>
      <x:c r="C147" t="s">
        <x:v>467</x:v>
      </x:c>
      <x:c r="D147">
        <x:v>425</x:v>
      </x:c>
      <x:c r="E147">
        <x:v>2.72511012650923</x:v>
      </x:c>
    </x:row>
    <x:row r="148">
      <x:c r="A148">
        <x:v>46060</x:v>
      </x:c>
      <x:c r="B148" t="s">
        <x:v>470</x:v>
      </x:c>
      <x:c r="C148" t="s">
        <x:v>484</x:v>
      </x:c>
      <x:c r="D148">
        <x:v>21</x:v>
      </x:c>
      <x:c r="E148">
        <x:v>0.153016613232294</x:v>
      </x:c>
    </x:row>
    <x:row r="149">
      <x:c r="A149">
        <x:v>46060</x:v>
      </x:c>
      <x:c r="B149" t="s">
        <x:v>470</x:v>
      </x:c>
      <x:c r="C149" t="s">
        <x:v>465</x:v>
      </x:c>
      <x:c r="D149">
        <x:v>126</x:v>
      </x:c>
      <x:c r="E149">
        <x:v>0.765073774971158</x:v>
      </x:c>
    </x:row>
    <x:row r="150">
      <x:c r="A150">
        <x:v>46060</x:v>
      </x:c>
      <x:c r="B150" t="s">
        <x:v>470</x:v>
      </x:c>
      <x:c r="C150" t="s">
        <x:v>477</x:v>
      </x:c>
      <x:c r="D150">
        <x:v>115</x:v>
      </x:c>
      <x:c r="E150">
        <x:v>0.837948120081609</x:v>
      </x:c>
    </x:row>
    <x:row r="151">
      <x:c r="A151">
        <x:v>46060</x:v>
      </x:c>
      <x:c r="B151" t="s">
        <x:v>470</x:v>
      </x:c>
      <x:c r="C151" t="s">
        <x:v>479</x:v>
      </x:c>
      <x:c r="D151">
        <x:v>136</x:v>
      </x:c>
      <x:c r="E151">
        <x:v>0.872035240482954</x:v>
      </x:c>
    </x:row>
    <x:row r="152">
      <x:c r="A152">
        <x:v>46060</x:v>
      </x:c>
      <x:c r="B152" t="s">
        <x:v>476</x:v>
      </x:c>
      <x:c r="C152" t="s">
        <x:v>468</x:v>
      </x:c>
      <x:c r="D152">
        <x:v>720</x:v>
      </x:c>
      <x:c r="E152">
        <x:v>4.37185014269232</x:v>
      </x:c>
    </x:row>
    <x:row r="153">
      <x:c r="A153">
        <x:v>46060</x:v>
      </x:c>
      <x:c r="B153" t="s">
        <x:v>476</x:v>
      </x:c>
      <x:c r="C153" t="s">
        <x:v>467</x:v>
      </x:c>
      <x:c r="D153">
        <x:v>2040</x:v>
      </x:c>
      <x:c r="E153">
        <x:v>13.0805286072443</x:v>
      </x:c>
    </x:row>
    <x:row r="154">
      <x:c r="A154">
        <x:v>46060</x:v>
      </x:c>
      <x:c r="B154" t="s">
        <x:v>476</x:v>
      </x:c>
      <x:c r="C154" t="s">
        <x:v>477</x:v>
      </x:c>
      <x:c r="D154">
        <x:v>85</x:v>
      </x:c>
      <x:c r="E154">
        <x:v>0.619352958321189</x:v>
      </x:c>
    </x:row>
    <x:row r="155">
      <x:c r="A155">
        <x:v>46060</x:v>
      </x:c>
      <x:c r="B155" t="s">
        <x:v>476</x:v>
      </x:c>
      <x:c r="C155" t="s">
        <x:v>475</x:v>
      </x:c>
      <x:c r="D155">
        <x:v>170</x:v>
      </x:c>
      <x:c r="E155">
        <x:v>1.09004405060369</x:v>
      </x:c>
    </x:row>
    <x:row r="156">
      <x:c r="A156">
        <x:v>46060</x:v>
      </x:c>
      <x:c r="B156" t="s">
        <x:v>470</x:v>
      </x:c>
      <x:c r="C156" t="s">
        <x:v>462</x:v>
      </x:c>
      <x:c r="D156">
        <x:v>110</x:v>
      </x:c>
      <x:c r="E156">
        <x:v>0.654563198076774</x:v>
      </x:c>
    </x:row>
    <x:row r="157">
      <x:c r="A157">
        <x:v>46060</x:v>
      </x:c>
      <x:c r="B157" t="s">
        <x:v>461</x:v>
      </x:c>
      <x:c r="C157" t="s">
        <x:v>490</x:v>
      </x:c>
      <x:c r="D157">
        <x:v>110</x:v>
      </x:c>
      <x:c r="E157">
        <x:v>0.654563198076774</x:v>
      </x:c>
    </x:row>
    <x:row r="158">
      <x:c r="A158">
        <x:v>46060</x:v>
      </x:c>
      <x:c r="B158" t="s">
        <x:v>476</x:v>
      </x:c>
      <x:c r="C158" t="s">
        <x:v>478</x:v>
      </x:c>
      <x:c r="D158">
        <x:v>510</x:v>
      </x:c>
      <x:c r="E158">
        <x:v>3.71611774992713</x:v>
      </x:c>
    </x:row>
    <x:row r="159">
      <x:c r="A159">
        <x:v>46060</x:v>
      </x:c>
      <x:c r="B159" t="s">
        <x:v>476</x:v>
      </x:c>
      <x:c r="C159" t="s">
        <x:v>462</x:v>
      </x:c>
      <x:c r="D159">
        <x:v>160</x:v>
      </x:c>
      <x:c r="E159">
        <x:v>0.952091924475308</x:v>
      </x:c>
    </x:row>
    <x:row r="160">
      <x:c r="A160">
        <x:v>46060</x:v>
      </x:c>
      <x:c r="B160" t="s">
        <x:v>476</x:v>
      </x:c>
      <x:c r="C160" t="s">
        <x:v>465</x:v>
      </x:c>
      <x:c r="D160">
        <x:v>864</x:v>
      </x:c>
      <x:c r="E160">
        <x:v>5.24622017123079</x:v>
      </x:c>
    </x:row>
    <x:row r="161">
      <x:c r="A161">
        <x:v>46059</x:v>
      </x:c>
      <x:c r="B161" t="s">
        <x:v>476</x:v>
      </x:c>
      <x:c r="C161" t="s">
        <x:v>466</x:v>
      </x:c>
      <x:c r="D161">
        <x:v>425</x:v>
      </x:c>
      <x:c r="E161">
        <x:v>3.09676479160595</x:v>
      </x:c>
    </x:row>
    <x:row r="162">
      <x:c r="A162" t="s">
        <x:v>456</x:v>
      </x:c>
      <x:c r="B162"/>
      <x:c r="C162"/>
      <x:c r="D162"/>
      <x:c r="E162"/>
    </x:row>
    <x:row r="163">
      <x:c r="A163" t="s">
        <x:v>122</x:v>
      </x:c>
      <x:c r="B163"/>
      <x:c r="C163"/>
      <x:c r="D163"/>
      <x:c r="E163"/>
    </x:row>
    <x:row r="164">
      <x:c r="A164" t="s">
        <x:v>457</x:v>
      </x:c>
      <x:c r="B164" t="s">
        <x:v>458</x:v>
      </x:c>
      <x:c r="C164" t="s">
        <x:v>88</x:v>
      </x:c>
      <x:c r="D164" t="s">
        <x:v>459</x:v>
      </x:c>
      <x:c r="E164" t="s">
        <x:v>460</x:v>
      </x:c>
    </x:row>
    <x:row r="165">
      <x:c r="A165">
        <x:v>46059</x:v>
      </x:c>
      <x:c r="B165" t="s">
        <x:v>473</x:v>
      </x:c>
      <x:c r="C165" t="s">
        <x:v>462</x:v>
      </x:c>
      <x:c r="D165">
        <x:v>5200</x:v>
      </x:c>
      <x:c r="E165">
        <x:v>30.9429875454475</x:v>
      </x:c>
    </x:row>
    <x:row r="166">
      <x:c r="A166">
        <x:v>46059</x:v>
      </x:c>
      <x:c r="B166" t="s">
        <x:v>470</x:v>
      </x:c>
      <x:c r="C166" t="s">
        <x:v>491</x:v>
      </x:c>
      <x:c r="D166">
        <x:v>136</x:v>
      </x:c>
      <x:c r="E166">
        <x:v>0.990964733313903</x:v>
      </x:c>
    </x:row>
    <x:row r="167">
      <x:c r="A167">
        <x:v>46059</x:v>
      </x:c>
      <x:c r="B167" t="s">
        <x:v>470</x:v>
      </x:c>
      <x:c r="C167" t="s">
        <x:v>467</x:v>
      </x:c>
      <x:c r="D167">
        <x:v>2244</x:v>
      </x:c>
      <x:c r="E167">
        <x:v>14.3885814679687</x:v>
      </x:c>
    </x:row>
    <x:row r="168">
      <x:c r="A168">
        <x:v>46059</x:v>
      </x:c>
      <x:c r="B168" t="s">
        <x:v>470</x:v>
      </x:c>
      <x:c r="C168" t="s">
        <x:v>479</x:v>
      </x:c>
      <x:c r="D168">
        <x:v>1292</x:v>
      </x:c>
      <x:c r="E168">
        <x:v>8.28433478458805</x:v>
      </x:c>
    </x:row>
    <x:row r="169">
      <x:c r="A169">
        <x:v>46059</x:v>
      </x:c>
      <x:c r="B169" t="s">
        <x:v>463</x:v>
      </x:c>
      <x:c r="C169" t="s">
        <x:v>465</x:v>
      </x:c>
      <x:c r="D169">
        <x:v>2268</x:v>
      </x:c>
      <x:c r="E169">
        <x:v>13.7713279494808</x:v>
      </x:c>
    </x:row>
    <x:row r="170">
      <x:c r="A170">
        <x:v>46059</x:v>
      </x:c>
      <x:c r="B170" t="s">
        <x:v>463</x:v>
      </x:c>
      <x:c r="C170" t="s">
        <x:v>487</x:v>
      </x:c>
      <x:c r="D170">
        <x:v>400</x:v>
      </x:c>
      <x:c r="E170">
        <x:v>3.206027331383</x:v>
      </x:c>
    </x:row>
    <x:row r="171">
      <x:c r="A171">
        <x:v>46059</x:v>
      </x:c>
      <x:c r="B171" t="s">
        <x:v>463</x:v>
      </x:c>
      <x:c r="C171" t="s">
        <x:v>468</x:v>
      </x:c>
      <x:c r="D171">
        <x:v>2520</x:v>
      </x:c>
      <x:c r="E171">
        <x:v>15.3014754994232</x:v>
      </x:c>
    </x:row>
    <x:row r="172">
      <x:c r="A172">
        <x:v>46059</x:v>
      </x:c>
      <x:c r="B172" t="s">
        <x:v>463</x:v>
      </x:c>
      <x:c r="C172" t="s">
        <x:v>462</x:v>
      </x:c>
      <x:c r="D172">
        <x:v>220</x:v>
      </x:c>
      <x:c r="E172">
        <x:v>1.30912639615355</x:v>
      </x:c>
    </x:row>
    <x:row r="173">
      <x:c r="A173">
        <x:v>46059</x:v>
      </x:c>
      <x:c r="B173" t="s">
        <x:v>461</x:v>
      </x:c>
      <x:c r="C173" t="s">
        <x:v>477</x:v>
      </x:c>
      <x:c r="D173">
        <x:v>136</x:v>
      </x:c>
      <x:c r="E173">
        <x:v>0.990964733313903</x:v>
      </x:c>
    </x:row>
    <x:row r="174">
      <x:c r="A174">
        <x:v>46059</x:v>
      </x:c>
      <x:c r="B174" t="s">
        <x:v>461</x:v>
      </x:c>
      <x:c r="C174" t="s">
        <x:v>484</x:v>
      </x:c>
      <x:c r="D174">
        <x:v>136</x:v>
      </x:c>
      <x:c r="E174">
        <x:v>0.990964733313903</x:v>
      </x:c>
    </x:row>
    <x:row r="175">
      <x:c r="A175">
        <x:v>46059</x:v>
      </x:c>
      <x:c r="B175" t="s">
        <x:v>461</x:v>
      </x:c>
      <x:c r="C175" t="s">
        <x:v>468</x:v>
      </x:c>
      <x:c r="D175">
        <x:v>1764</x:v>
      </x:c>
      <x:c r="E175">
        <x:v>10.7110328495962</x:v>
      </x:c>
    </x:row>
    <x:row r="176">
      <x:c r="A176">
        <x:v>46059</x:v>
      </x:c>
      <x:c r="B176" t="s">
        <x:v>461</x:v>
      </x:c>
      <x:c r="C176" t="s">
        <x:v>467</x:v>
      </x:c>
      <x:c r="D176">
        <x:v>2856</x:v>
      </x:c>
      <x:c r="E176">
        <x:v>18.312740050142</x:v>
      </x:c>
    </x:row>
    <x:row r="177">
      <x:c r="A177">
        <x:v>46059</x:v>
      </x:c>
      <x:c r="B177" t="s">
        <x:v>461</x:v>
      </x:c>
      <x:c r="C177" t="s">
        <x:v>462</x:v>
      </x:c>
      <x:c r="D177">
        <x:v>110</x:v>
      </x:c>
      <x:c r="E177">
        <x:v>0.654563198076774</x:v>
      </x:c>
    </x:row>
    <x:row r="178">
      <x:c r="A178">
        <x:v>46059</x:v>
      </x:c>
      <x:c r="B178" t="s">
        <x:v>461</x:v>
      </x:c>
      <x:c r="C178" t="s">
        <x:v>466</x:v>
      </x:c>
      <x:c r="D178">
        <x:v>408</x:v>
      </x:c>
      <x:c r="E178">
        <x:v>2.97289419994171</x:v>
      </x:c>
    </x:row>
    <x:row r="179">
      <x:c r="A179">
        <x:v>46059</x:v>
      </x:c>
      <x:c r="B179" t="s">
        <x:v>461</x:v>
      </x:c>
      <x:c r="C179" t="s">
        <x:v>471</x:v>
      </x:c>
      <x:c r="D179">
        <x:v>195</x:v>
      </x:c>
      <x:c r="E179">
        <x:v>1.18404274697917</x:v>
      </x:c>
    </x:row>
    <x:row r="180">
      <x:c r="A180">
        <x:v>46059</x:v>
      </x:c>
      <x:c r="B180" t="s">
        <x:v>476</x:v>
      </x:c>
      <x:c r="C180" t="s">
        <x:v>472</x:v>
      </x:c>
      <x:c r="D180">
        <x:v>85</x:v>
      </x:c>
      <x:c r="E180">
        <x:v>0.516121197401178</x:v>
      </x:c>
    </x:row>
    <x:row r="181">
      <x:c r="A181">
        <x:v>46059</x:v>
      </x:c>
      <x:c r="B181" t="s">
        <x:v>476</x:v>
      </x:c>
      <x:c r="C181" t="s">
        <x:v>465</x:v>
      </x:c>
      <x:c r="D181">
        <x:v>144</x:v>
      </x:c>
      <x:c r="E181">
        <x:v>0.874370028538466</x:v>
      </x:c>
    </x:row>
    <x:row r="182">
      <x:c r="A182">
        <x:v>46059</x:v>
      </x:c>
      <x:c r="B182" t="s">
        <x:v>476</x:v>
      </x:c>
      <x:c r="C182" t="s">
        <x:v>468</x:v>
      </x:c>
      <x:c r="D182">
        <x:v>1152</x:v>
      </x:c>
      <x:c r="E182">
        <x:v>6.99496022830773</x:v>
      </x:c>
    </x:row>
    <x:row r="183">
      <x:c r="A183">
        <x:v>46059</x:v>
      </x:c>
      <x:c r="B183" t="s">
        <x:v>476</x:v>
      </x:c>
      <x:c r="C183" t="s">
        <x:v>467</x:v>
      </x:c>
      <x:c r="D183">
        <x:v>1870</x:v>
      </x:c>
      <x:c r="E183">
        <x:v>11.9904845566405</x:v>
      </x:c>
    </x:row>
    <x:row r="184">
      <x:c r="A184">
        <x:v>46059</x:v>
      </x:c>
      <x:c r="B184" t="s">
        <x:v>476</x:v>
      </x:c>
      <x:c r="C184" t="s">
        <x:v>466</x:v>
      </x:c>
      <x:c r="D184">
        <x:v>425</x:v>
      </x:c>
      <x:c r="E184">
        <x:v>3.09676479160595</x:v>
      </x:c>
    </x:row>
    <x:row r="185">
      <x:c r="A185" t="s">
        <x:v>456</x:v>
      </x:c>
      <x:c r="B185"/>
      <x:c r="C185"/>
      <x:c r="D185"/>
      <x:c r="E185"/>
    </x:row>
    <x:row r="186">
      <x:c r="A186" t="s">
        <x:v>122</x:v>
      </x:c>
      <x:c r="B186"/>
      <x:c r="C186"/>
      <x:c r="D186"/>
      <x:c r="E186"/>
    </x:row>
    <x:row r="187">
      <x:c r="A187" t="s">
        <x:v>457</x:v>
      </x:c>
      <x:c r="B187" t="s">
        <x:v>458</x:v>
      </x:c>
      <x:c r="C187" t="s">
        <x:v>88</x:v>
      </x:c>
      <x:c r="D187" t="s">
        <x:v>459</x:v>
      </x:c>
      <x:c r="E187" t="s">
        <x:v>460</x:v>
      </x:c>
    </x:row>
    <x:row r="188">
      <x:c r="A188">
        <x:v>46058</x:v>
      </x:c>
      <x:c r="B188" t="s">
        <x:v>492</x:v>
      </x:c>
      <x:c r="C188" t="s">
        <x:v>493</x:v>
      </x:c>
      <x:c r="D188">
        <x:v>378</x:v>
      </x:c>
      <x:c r="E188">
        <x:v>2.29522132491347</x:v>
      </x:c>
    </x:row>
    <x:row r="189">
      <x:c r="A189">
        <x:v>46058</x:v>
      </x:c>
      <x:c r="B189" t="s">
        <x:v>476</x:v>
      </x:c>
      <x:c r="C189" t="s">
        <x:v>471</x:v>
      </x:c>
      <x:c r="D189">
        <x:v>468</x:v>
      </x:c>
      <x:c r="E189">
        <x:v>2.84170259275001</x:v>
      </x:c>
    </x:row>
    <x:row r="190">
      <x:c r="A190">
        <x:v>46058</x:v>
      </x:c>
      <x:c r="B190" t="s">
        <x:v>476</x:v>
      </x:c>
      <x:c r="C190" t="s">
        <x:v>466</x:v>
      </x:c>
      <x:c r="D190">
        <x:v>255</x:v>
      </x:c>
      <x:c r="E190">
        <x:v>1.85805887496357</x:v>
      </x:c>
    </x:row>
    <x:row r="191">
      <x:c r="A191">
        <x:v>46058</x:v>
      </x:c>
      <x:c r="B191" t="s">
        <x:v>476</x:v>
      </x:c>
      <x:c r="C191" t="s">
        <x:v>494</x:v>
      </x:c>
      <x:c r="D191">
        <x:v>72</x:v>
      </x:c>
      <x:c r="E191">
        <x:v>0.521123600385053</x:v>
      </x:c>
    </x:row>
    <x:row r="192">
      <x:c r="A192">
        <x:v>46058</x:v>
      </x:c>
      <x:c r="B192" t="s">
        <x:v>476</x:v>
      </x:c>
      <x:c r="C192" t="s">
        <x:v>467</x:v>
      </x:c>
      <x:c r="D192">
        <x:v>1190</x:v>
      </x:c>
      <x:c r="E192">
        <x:v>7.63030835422584</x:v>
      </x:c>
    </x:row>
    <x:row r="193">
      <x:c r="A193">
        <x:v>46058</x:v>
      </x:c>
      <x:c r="B193" t="s">
        <x:v>476</x:v>
      </x:c>
      <x:c r="C193" t="s">
        <x:v>468</x:v>
      </x:c>
      <x:c r="D193">
        <x:v>1008</x:v>
      </x:c>
      <x:c r="E193">
        <x:v>6.12059019976926</x:v>
      </x:c>
    </x:row>
    <x:row r="194">
      <x:c r="A194">
        <x:v>46058</x:v>
      </x:c>
      <x:c r="B194" t="s">
        <x:v>476</x:v>
      </x:c>
      <x:c r="C194" t="s">
        <x:v>484</x:v>
      </x:c>
      <x:c r="D194">
        <x:v>340</x:v>
      </x:c>
      <x:c r="E194">
        <x:v>2.47741183328476</x:v>
      </x:c>
    </x:row>
    <x:row r="195">
      <x:c r="A195">
        <x:v>46058</x:v>
      </x:c>
      <x:c r="B195" t="s">
        <x:v>476</x:v>
      </x:c>
      <x:c r="C195" t="s">
        <x:v>465</x:v>
      </x:c>
      <x:c r="D195">
        <x:v>288</x:v>
      </x:c>
      <x:c r="E195">
        <x:v>1.74874005707693</x:v>
      </x:c>
    </x:row>
    <x:row r="196">
      <x:c r="A196">
        <x:v>46058</x:v>
      </x:c>
      <x:c r="B196" t="s">
        <x:v>461</x:v>
      </x:c>
      <x:c r="C196" t="s">
        <x:v>474</x:v>
      </x:c>
      <x:c r="D196">
        <x:v>240</x:v>
      </x:c>
      <x:c r="E196">
        <x:v>1.41356075955331</x:v>
      </x:c>
    </x:row>
    <x:row r="197">
      <x:c r="A197">
        <x:v>46058</x:v>
      </x:c>
      <x:c r="B197" t="s">
        <x:v>461</x:v>
      </x:c>
      <x:c r="C197" t="s">
        <x:v>466</x:v>
      </x:c>
      <x:c r="D197">
        <x:v>272</x:v>
      </x:c>
      <x:c r="E197">
        <x:v>1.98192946662781</x:v>
      </x:c>
    </x:row>
    <x:row r="198">
      <x:c r="A198">
        <x:v>46058</x:v>
      </x:c>
      <x:c r="B198" t="s">
        <x:v>461</x:v>
      </x:c>
      <x:c r="C198" t="s">
        <x:v>462</x:v>
      </x:c>
      <x:c r="D198">
        <x:v>110</x:v>
      </x:c>
      <x:c r="E198">
        <x:v>0.654563198076774</x:v>
      </x:c>
    </x:row>
    <x:row r="199">
      <x:c r="A199">
        <x:v>46058</x:v>
      </x:c>
      <x:c r="B199" t="s">
        <x:v>461</x:v>
      </x:c>
      <x:c r="C199" t="s">
        <x:v>468</x:v>
      </x:c>
      <x:c r="D199">
        <x:v>2772</x:v>
      </x:c>
      <x:c r="E199">
        <x:v>16.8316230493655</x:v>
      </x:c>
    </x:row>
    <x:row r="200">
      <x:c r="A200">
        <x:v>46058</x:v>
      </x:c>
      <x:c r="B200" t="s">
        <x:v>461</x:v>
      </x:c>
      <x:c r="C200" t="s">
        <x:v>465</x:v>
      </x:c>
      <x:c r="D200">
        <x:v>2646</x:v>
      </x:c>
      <x:c r="E200">
        <x:v>16.0665492743943</x:v>
      </x:c>
    </x:row>
    <x:row r="201">
      <x:c r="A201">
        <x:v>46058</x:v>
      </x:c>
      <x:c r="B201" t="s">
        <x:v>461</x:v>
      </x:c>
      <x:c r="C201" t="s">
        <x:v>491</x:v>
      </x:c>
      <x:c r="D201">
        <x:v>204</x:v>
      </x:c>
      <x:c r="E201">
        <x:v>1.48644709997085</x:v>
      </x:c>
    </x:row>
    <x:row r="202">
      <x:c r="A202">
        <x:v>46058</x:v>
      </x:c>
      <x:c r="B202" t="s">
        <x:v>463</x:v>
      </x:c>
      <x:c r="C202" t="s">
        <x:v>474</x:v>
      </x:c>
      <x:c r="D202">
        <x:v>160</x:v>
      </x:c>
      <x:c r="E202">
        <x:v>0.94237383970221</x:v>
      </x:c>
    </x:row>
    <x:row r="203">
      <x:c r="A203">
        <x:v>46058</x:v>
      </x:c>
      <x:c r="B203" t="s">
        <x:v>463</x:v>
      </x:c>
      <x:c r="C203" t="s">
        <x:v>495</x:v>
      </x:c>
      <x:c r="D203">
        <x:v>136</x:v>
      </x:c>
      <x:c r="E203">
        <x:v>0.872035240482954</x:v>
      </x:c>
    </x:row>
    <x:row r="204">
      <x:c r="A204">
        <x:v>46058</x:v>
      </x:c>
      <x:c r="B204" t="s">
        <x:v>463</x:v>
      </x:c>
      <x:c r="C204" t="s">
        <x:v>479</x:v>
      </x:c>
      <x:c r="D204">
        <x:v>136</x:v>
      </x:c>
      <x:c r="E204">
        <x:v>0.872035240482954</x:v>
      </x:c>
    </x:row>
    <x:row r="205">
      <x:c r="A205">
        <x:v>46058</x:v>
      </x:c>
      <x:c r="B205" t="s">
        <x:v>463</x:v>
      </x:c>
      <x:c r="C205" t="s">
        <x:v>467</x:v>
      </x:c>
      <x:c r="D205">
        <x:v>952</x:v>
      </x:c>
      <x:c r="E205">
        <x:v>6.10424668338068</x:v>
      </x:c>
    </x:row>
    <x:row r="206">
      <x:c r="A206">
        <x:v>46058</x:v>
      </x:c>
      <x:c r="B206" t="s">
        <x:v>463</x:v>
      </x:c>
      <x:c r="C206" t="s">
        <x:v>468</x:v>
      </x:c>
      <x:c r="D206">
        <x:v>4284</x:v>
      </x:c>
      <x:c r="E206">
        <x:v>26.0125083490193</x:v>
      </x:c>
    </x:row>
    <x:row r="207">
      <x:c r="A207">
        <x:v>46058</x:v>
      </x:c>
      <x:c r="B207" t="s">
        <x:v>463</x:v>
      </x:c>
      <x:c r="C207" t="s">
        <x:v>477</x:v>
      </x:c>
      <x:c r="D207">
        <x:v>408</x:v>
      </x:c>
      <x:c r="E207">
        <x:v>2.97289419994171</x:v>
      </x:c>
    </x:row>
    <x:row r="208">
      <x:c r="A208" t="s">
        <x:v>456</x:v>
      </x:c>
      <x:c r="B208"/>
      <x:c r="C208"/>
      <x:c r="D208"/>
      <x:c r="E208"/>
    </x:row>
    <x:row r="209">
      <x:c r="A209" t="s">
        <x:v>122</x:v>
      </x:c>
      <x:c r="B209"/>
      <x:c r="C209"/>
      <x:c r="D209"/>
      <x:c r="E209"/>
    </x:row>
    <x:row r="210">
      <x:c r="A210" t="s">
        <x:v>457</x:v>
      </x:c>
      <x:c r="B210" t="s">
        <x:v>458</x:v>
      </x:c>
      <x:c r="C210" t="s">
        <x:v>88</x:v>
      </x:c>
      <x:c r="D210" t="s">
        <x:v>459</x:v>
      </x:c>
      <x:c r="E210" t="s">
        <x:v>460</x:v>
      </x:c>
    </x:row>
    <x:row r="211">
      <x:c r="A211">
        <x:v>46058</x:v>
      </x:c>
      <x:c r="B211" t="s">
        <x:v>463</x:v>
      </x:c>
      <x:c r="C211" t="s">
        <x:v>465</x:v>
      </x:c>
      <x:c r="D211">
        <x:v>2520</x:v>
      </x:c>
      <x:c r="E211">
        <x:v>15.3014754994232</x:v>
      </x:c>
    </x:row>
    <x:row r="212">
      <x:c r="A212">
        <x:v>46058</x:v>
      </x:c>
      <x:c r="B212" t="s">
        <x:v>463</x:v>
      </x:c>
      <x:c r="C212" t="s">
        <x:v>472</x:v>
      </x:c>
      <x:c r="D212">
        <x:v>68</x:v>
      </x:c>
      <x:c r="E212">
        <x:v>0.412896957920942</x:v>
      </x:c>
    </x:row>
    <x:row r="213">
      <x:c r="A213">
        <x:v>46058</x:v>
      </x:c>
      <x:c r="B213" t="s">
        <x:v>470</x:v>
      </x:c>
      <x:c r="C213" t="s">
        <x:v>490</x:v>
      </x:c>
      <x:c r="D213">
        <x:v>30</x:v>
      </x:c>
      <x:c r="E213">
        <x:v>0.17851723583912</x:v>
      </x:c>
    </x:row>
    <x:row r="214">
      <x:c r="A214">
        <x:v>46058</x:v>
      </x:c>
      <x:c r="B214" t="s">
        <x:v>470</x:v>
      </x:c>
      <x:c r="C214" t="s">
        <x:v>474</x:v>
      </x:c>
      <x:c r="D214">
        <x:v>160</x:v>
      </x:c>
      <x:c r="E214">
        <x:v>0.94237383970221</x:v>
      </x:c>
    </x:row>
    <x:row r="215">
      <x:c r="A215">
        <x:v>46058</x:v>
      </x:c>
      <x:c r="B215" t="s">
        <x:v>470</x:v>
      </x:c>
      <x:c r="C215" t="s">
        <x:v>467</x:v>
      </x:c>
      <x:c r="D215">
        <x:v>1428</x:v>
      </x:c>
      <x:c r="E215">
        <x:v>9.15637002507101</x:v>
      </x:c>
    </x:row>
    <x:row r="216">
      <x:c r="A216">
        <x:v>46058</x:v>
      </x:c>
      <x:c r="B216" t="s">
        <x:v>470</x:v>
      </x:c>
      <x:c r="C216" t="s">
        <x:v>468</x:v>
      </x:c>
      <x:c r="D216">
        <x:v>2646</x:v>
      </x:c>
      <x:c r="E216">
        <x:v>16.0665492743943</x:v>
      </x:c>
    </x:row>
    <x:row r="217">
      <x:c r="A217">
        <x:v>46058</x:v>
      </x:c>
      <x:c r="B217" t="s">
        <x:v>470</x:v>
      </x:c>
      <x:c r="C217" t="s">
        <x:v>465</x:v>
      </x:c>
      <x:c r="D217">
        <x:v>3402</x:v>
      </x:c>
      <x:c r="E217">
        <x:v>20.6569919242212</x:v>
      </x:c>
    </x:row>
    <x:row r="218">
      <x:c r="A218">
        <x:v>46058</x:v>
      </x:c>
      <x:c r="B218" t="s">
        <x:v>470</x:v>
      </x:c>
      <x:c r="C218" t="s">
        <x:v>472</x:v>
      </x:c>
      <x:c r="D218">
        <x:v>136</x:v>
      </x:c>
      <x:c r="E218">
        <x:v>0.825793915841885</x:v>
      </x:c>
    </x:row>
    <x:row r="219">
      <x:c r="A219">
        <x:v>46057</x:v>
      </x:c>
      <x:c r="B219" t="s">
        <x:v>470</x:v>
      </x:c>
      <x:c r="C219" t="s">
        <x:v>468</x:v>
      </x:c>
      <x:c r="D219">
        <x:v>2790</x:v>
      </x:c>
      <x:c r="E219">
        <x:v>16.9409193029327</x:v>
      </x:c>
    </x:row>
    <x:row r="220">
      <x:c r="A220">
        <x:v>46057</x:v>
      </x:c>
      <x:c r="B220" t="s">
        <x:v>476</x:v>
      </x:c>
      <x:c r="C220" t="s">
        <x:v>496</x:v>
      </x:c>
      <x:c r="D220">
        <x:v>85</x:v>
      </x:c>
      <x:c r="E220">
        <x:v>0.545022025301846</x:v>
      </x:c>
    </x:row>
    <x:row r="221">
      <x:c r="A221">
        <x:v>46057</x:v>
      </x:c>
      <x:c r="B221" t="s">
        <x:v>476</x:v>
      </x:c>
      <x:c r="C221" t="s">
        <x:v>475</x:v>
      </x:c>
      <x:c r="D221">
        <x:v>1020</x:v>
      </x:c>
      <x:c r="E221">
        <x:v>6.54026430362215</x:v>
      </x:c>
    </x:row>
    <x:row r="222">
      <x:c r="A222">
        <x:v>46057</x:v>
      </x:c>
      <x:c r="B222" t="s">
        <x:v>476</x:v>
      </x:c>
      <x:c r="C222" t="s">
        <x:v>467</x:v>
      </x:c>
      <x:c r="D222">
        <x:v>850</x:v>
      </x:c>
      <x:c r="E222">
        <x:v>5.45022025301846</x:v>
      </x:c>
    </x:row>
    <x:row r="223">
      <x:c r="A223">
        <x:v>46057</x:v>
      </x:c>
      <x:c r="B223" t="s">
        <x:v>476</x:v>
      </x:c>
      <x:c r="C223" t="s">
        <x:v>465</x:v>
      </x:c>
      <x:c r="D223">
        <x:v>432</x:v>
      </x:c>
      <x:c r="E223">
        <x:v>2.6231100856154</x:v>
      </x:c>
    </x:row>
    <x:row r="224">
      <x:c r="A224">
        <x:v>46057</x:v>
      </x:c>
      <x:c r="B224" t="s">
        <x:v>476</x:v>
      </x:c>
      <x:c r="C224" t="s">
        <x:v>491</x:v>
      </x:c>
      <x:c r="D224">
        <x:v>425</x:v>
      </x:c>
      <x:c r="E224">
        <x:v>3.09676479160595</x:v>
      </x:c>
    </x:row>
    <x:row r="225">
      <x:c r="A225">
        <x:v>46057</x:v>
      </x:c>
      <x:c r="B225" t="s">
        <x:v>476</x:v>
      </x:c>
      <x:c r="C225" t="s">
        <x:v>472</x:v>
      </x:c>
      <x:c r="D225">
        <x:v>680</x:v>
      </x:c>
      <x:c r="E225">
        <x:v>4.12896957920942</x:v>
      </x:c>
    </x:row>
    <x:row r="226">
      <x:c r="A226">
        <x:v>46057</x:v>
      </x:c>
      <x:c r="B226" t="s">
        <x:v>461</x:v>
      </x:c>
      <x:c r="C226" t="s">
        <x:v>464</x:v>
      </x:c>
      <x:c r="D226">
        <x:v>110</x:v>
      </x:c>
      <x:c r="E226">
        <x:v>0.654563198076774</x:v>
      </x:c>
    </x:row>
    <x:row r="227">
      <x:c r="A227">
        <x:v>46057</x:v>
      </x:c>
      <x:c r="B227" t="s">
        <x:v>461</x:v>
      </x:c>
      <x:c r="C227" t="s">
        <x:v>466</x:v>
      </x:c>
      <x:c r="D227">
        <x:v>1088</x:v>
      </x:c>
      <x:c r="E227">
        <x:v>7.92771786651122</x:v>
      </x:c>
    </x:row>
    <x:row r="228">
      <x:c r="A228">
        <x:v>46057</x:v>
      </x:c>
      <x:c r="B228" t="s">
        <x:v>461</x:v>
      </x:c>
      <x:c r="C228" t="s">
        <x:v>479</x:v>
      </x:c>
      <x:c r="D228">
        <x:v>952</x:v>
      </x:c>
      <x:c r="E228">
        <x:v>6.10424668338067</x:v>
      </x:c>
    </x:row>
    <x:row r="229">
      <x:c r="A229">
        <x:v>46057</x:v>
      </x:c>
      <x:c r="B229" t="s">
        <x:v>461</x:v>
      </x:c>
      <x:c r="C229" t="s">
        <x:v>496</x:v>
      </x:c>
      <x:c r="D229">
        <x:v>85</x:v>
      </x:c>
      <x:c r="E229">
        <x:v>0.545022025301846</x:v>
      </x:c>
    </x:row>
    <x:row r="230">
      <x:c r="A230">
        <x:v>46057</x:v>
      </x:c>
      <x:c r="B230" t="s">
        <x:v>461</x:v>
      </x:c>
      <x:c r="C230" t="s">
        <x:v>475</x:v>
      </x:c>
      <x:c r="D230">
        <x:v>272</x:v>
      </x:c>
      <x:c r="E230">
        <x:v>1.74407048096591</x:v>
      </x:c>
    </x:row>
    <x:row r="231">
      <x:c r="A231" t="s">
        <x:v>456</x:v>
      </x:c>
      <x:c r="B231"/>
      <x:c r="C231"/>
      <x:c r="D231"/>
      <x:c r="E231"/>
    </x:row>
    <x:row r="232">
      <x:c r="A232" t="s">
        <x:v>122</x:v>
      </x:c>
      <x:c r="B232"/>
      <x:c r="C232"/>
      <x:c r="D232"/>
      <x:c r="E232"/>
    </x:row>
    <x:row r="233">
      <x:c r="A233" t="s">
        <x:v>457</x:v>
      </x:c>
      <x:c r="B233" t="s">
        <x:v>458</x:v>
      </x:c>
      <x:c r="C233" t="s">
        <x:v>88</x:v>
      </x:c>
      <x:c r="D233" t="s">
        <x:v>459</x:v>
      </x:c>
      <x:c r="E233" t="s">
        <x:v>460</x:v>
      </x:c>
    </x:row>
    <x:row r="234">
      <x:c r="A234">
        <x:v>46057</x:v>
      </x:c>
      <x:c r="B234" t="s">
        <x:v>461</x:v>
      </x:c>
      <x:c r="C234" t="s">
        <x:v>467</x:v>
      </x:c>
      <x:c r="D234">
        <x:v>85</x:v>
      </x:c>
      <x:c r="E234">
        <x:v>0.545022025301846</x:v>
      </x:c>
    </x:row>
    <x:row r="235">
      <x:c r="A235">
        <x:v>46057</x:v>
      </x:c>
      <x:c r="B235" t="s">
        <x:v>461</x:v>
      </x:c>
      <x:c r="C235" t="s">
        <x:v>468</x:v>
      </x:c>
      <x:c r="D235">
        <x:v>2898</x:v>
      </x:c>
      <x:c r="E235">
        <x:v>17.5966968243366</x:v>
      </x:c>
    </x:row>
    <x:row r="236">
      <x:c r="A236">
        <x:v>46057</x:v>
      </x:c>
      <x:c r="B236" t="s">
        <x:v>461</x:v>
      </x:c>
      <x:c r="C236" t="s">
        <x:v>497</x:v>
      </x:c>
      <x:c r="D236">
        <x:v>680</x:v>
      </x:c>
      <x:c r="E236">
        <x:v>4.12896957920942</x:v>
      </x:c>
    </x:row>
    <x:row r="237">
      <x:c r="A237">
        <x:v>46057</x:v>
      </x:c>
      <x:c r="B237" t="s">
        <x:v>473</x:v>
      </x:c>
      <x:c r="C237" t="s">
        <x:v>462</x:v>
      </x:c>
      <x:c r="D237">
        <x:v>5200</x:v>
      </x:c>
      <x:c r="E237">
        <x:v>30.9429875454475</x:v>
      </x:c>
    </x:row>
    <x:row r="238">
      <x:c r="A238">
        <x:v>46057</x:v>
      </x:c>
      <x:c r="B238" t="s">
        <x:v>461</x:v>
      </x:c>
      <x:c r="C238" t="s">
        <x:v>477</x:v>
      </x:c>
      <x:c r="D238">
        <x:v>1156</x:v>
      </x:c>
      <x:c r="E238">
        <x:v>8.42320023316817</x:v>
      </x:c>
    </x:row>
    <x:row r="239">
      <x:c r="A239">
        <x:v>46057</x:v>
      </x:c>
      <x:c r="B239" t="s">
        <x:v>461</x:v>
      </x:c>
      <x:c r="C239" t="s">
        <x:v>465</x:v>
      </x:c>
      <x:c r="D239">
        <x:v>3780</x:v>
      </x:c>
      <x:c r="E239">
        <x:v>22.9522132491347</x:v>
      </x:c>
    </x:row>
    <x:row r="240">
      <x:c r="A240">
        <x:v>46057</x:v>
      </x:c>
      <x:c r="B240" t="s">
        <x:v>463</x:v>
      </x:c>
      <x:c r="C240" t="s">
        <x:v>464</x:v>
      </x:c>
      <x:c r="D240">
        <x:v>110</x:v>
      </x:c>
      <x:c r="E240">
        <x:v>0.654563198076774</x:v>
      </x:c>
    </x:row>
    <x:row r="241">
      <x:c r="A241">
        <x:v>46057</x:v>
      </x:c>
      <x:c r="B241" t="s">
        <x:v>463</x:v>
      </x:c>
      <x:c r="C241" t="s">
        <x:v>474</x:v>
      </x:c>
      <x:c r="D241">
        <x:v>320</x:v>
      </x:c>
      <x:c r="E241">
        <x:v>1.88474767940442</x:v>
      </x:c>
    </x:row>
    <x:row r="242">
      <x:c r="A242">
        <x:v>46057</x:v>
      </x:c>
      <x:c r="B242" t="s">
        <x:v>463</x:v>
      </x:c>
      <x:c r="C242" t="s">
        <x:v>462</x:v>
      </x:c>
      <x:c r="D242">
        <x:v>330</x:v>
      </x:c>
      <x:c r="E242">
        <x:v>1.96368959423032</x:v>
      </x:c>
    </x:row>
    <x:row r="243">
      <x:c r="A243">
        <x:v>46057</x:v>
      </x:c>
      <x:c r="B243" t="s">
        <x:v>463</x:v>
      </x:c>
      <x:c r="C243" t="s">
        <x:v>475</x:v>
      </x:c>
      <x:c r="D243">
        <x:v>136</x:v>
      </x:c>
      <x:c r="E243">
        <x:v>0.872035240482954</x:v>
      </x:c>
    </x:row>
    <x:row r="244">
      <x:c r="A244">
        <x:v>46057</x:v>
      </x:c>
      <x:c r="B244" t="s">
        <x:v>463</x:v>
      </x:c>
      <x:c r="C244" t="s">
        <x:v>468</x:v>
      </x:c>
      <x:c r="D244">
        <x:v>3402</x:v>
      </x:c>
      <x:c r="E244">
        <x:v>20.6569919242212</x:v>
      </x:c>
    </x:row>
    <x:row r="245">
      <x:c r="A245">
        <x:v>46057</x:v>
      </x:c>
      <x:c r="B245" t="s">
        <x:v>463</x:v>
      </x:c>
      <x:c r="C245" t="s">
        <x:v>477</x:v>
      </x:c>
      <x:c r="D245">
        <x:v>1360</x:v>
      </x:c>
      <x:c r="E245">
        <x:v>9.90964733313903</x:v>
      </x:c>
    </x:row>
    <x:row r="246">
      <x:c r="A246">
        <x:v>46057</x:v>
      </x:c>
      <x:c r="B246" t="s">
        <x:v>463</x:v>
      </x:c>
      <x:c r="C246" t="s">
        <x:v>486</x:v>
      </x:c>
      <x:c r="D246">
        <x:v>100</x:v>
      </x:c>
      <x:c r="E246">
        <x:v>0.80150683284575</x:v>
      </x:c>
    </x:row>
    <x:row r="247">
      <x:c r="A247">
        <x:v>46057</x:v>
      </x:c>
      <x:c r="B247" t="s">
        <x:v>463</x:v>
      </x:c>
      <x:c r="C247" t="s">
        <x:v>465</x:v>
      </x:c>
      <x:c r="D247">
        <x:v>3780</x:v>
      </x:c>
      <x:c r="E247">
        <x:v>22.9522132491347</x:v>
      </x:c>
    </x:row>
    <x:row r="248">
      <x:c r="A248">
        <x:v>46057</x:v>
      </x:c>
      <x:c r="B248" t="s">
        <x:v>470</x:v>
      </x:c>
      <x:c r="C248" t="s">
        <x:v>474</x:v>
      </x:c>
      <x:c r="D248">
        <x:v>80</x:v>
      </x:c>
      <x:c r="E248">
        <x:v>0.471186919851105</x:v>
      </x:c>
    </x:row>
    <x:row r="249">
      <x:c r="A249">
        <x:v>46057</x:v>
      </x:c>
      <x:c r="B249" t="s">
        <x:v>470</x:v>
      </x:c>
      <x:c r="C249" t="s">
        <x:v>466</x:v>
      </x:c>
      <x:c r="D249">
        <x:v>170</x:v>
      </x:c>
      <x:c r="E249">
        <x:v>1.23870591664238</x:v>
      </x:c>
    </x:row>
    <x:row r="250">
      <x:c r="A250">
        <x:v>46057</x:v>
      </x:c>
      <x:c r="B250" t="s">
        <x:v>470</x:v>
      </x:c>
      <x:c r="C250" t="s">
        <x:v>467</x:v>
      </x:c>
      <x:c r="D250">
        <x:v>170</x:v>
      </x:c>
      <x:c r="E250">
        <x:v>1.09004405060369</x:v>
      </x:c>
    </x:row>
    <x:row r="251">
      <x:c r="A251">
        <x:v>46056</x:v>
      </x:c>
      <x:c r="B251" t="s">
        <x:v>470</x:v>
      </x:c>
      <x:c r="C251" t="s">
        <x:v>471</x:v>
      </x:c>
      <x:c r="D251">
        <x:v>85</x:v>
      </x:c>
      <x:c r="E251">
        <x:v>0.516121197401178</x:v>
      </x:c>
    </x:row>
    <x:row r="252">
      <x:c r="A252">
        <x:v>46056</x:v>
      </x:c>
      <x:c r="B252" t="s">
        <x:v>476</x:v>
      </x:c>
      <x:c r="C252" t="s">
        <x:v>464</x:v>
      </x:c>
      <x:c r="D252">
        <x:v>10</x:v>
      </x:c>
      <x:c r="E252">
        <x:v>0.0595057452797068</x:v>
      </x:c>
    </x:row>
    <x:row r="253">
      <x:c r="A253">
        <x:v>46056</x:v>
      </x:c>
      <x:c r="B253" t="s">
        <x:v>476</x:v>
      </x:c>
      <x:c r="C253" t="s">
        <x:v>474</x:v>
      </x:c>
      <x:c r="D253">
        <x:v>960</x:v>
      </x:c>
      <x:c r="E253">
        <x:v>5.65424303821326</x:v>
      </x:c>
    </x:row>
    <x:row r="254">
      <x:c r="A254" t="s">
        <x:v>456</x:v>
      </x:c>
      <x:c r="B254"/>
      <x:c r="C254"/>
      <x:c r="D254"/>
      <x:c r="E254"/>
    </x:row>
    <x:row r="255">
      <x:c r="A255" t="s">
        <x:v>122</x:v>
      </x:c>
      <x:c r="B255"/>
      <x:c r="C255"/>
      <x:c r="D255"/>
      <x:c r="E255"/>
    </x:row>
    <x:row r="256">
      <x:c r="A256" t="s">
        <x:v>457</x:v>
      </x:c>
      <x:c r="B256" t="s">
        <x:v>458</x:v>
      </x:c>
      <x:c r="C256" t="s">
        <x:v>88</x:v>
      </x:c>
      <x:c r="D256" t="s">
        <x:v>459</x:v>
      </x:c>
      <x:c r="E256" t="s">
        <x:v>460</x:v>
      </x:c>
    </x:row>
    <x:row r="257">
      <x:c r="A257">
        <x:v>46056</x:v>
      </x:c>
      <x:c r="B257" t="s">
        <x:v>476</x:v>
      </x:c>
      <x:c r="C257" t="s">
        <x:v>493</x:v>
      </x:c>
      <x:c r="D257">
        <x:v>20</x:v>
      </x:c>
      <x:c r="E257">
        <x:v>0.121440281741454</x:v>
      </x:c>
    </x:row>
    <x:row r="258">
      <x:c r="A258">
        <x:v>46056</x:v>
      </x:c>
      <x:c r="B258" t="s">
        <x:v>476</x:v>
      </x:c>
      <x:c r="C258" t="s">
        <x:v>489</x:v>
      </x:c>
      <x:c r="D258">
        <x:v>25</x:v>
      </x:c>
      <x:c r="E258">
        <x:v>0.194304545171921</x:v>
      </x:c>
    </x:row>
    <x:row r="259">
      <x:c r="A259">
        <x:v>46056</x:v>
      </x:c>
      <x:c r="B259" t="s">
        <x:v>476</x:v>
      </x:c>
      <x:c r="C259" t="s">
        <x:v>466</x:v>
      </x:c>
      <x:c r="D259">
        <x:v>510</x:v>
      </x:c>
      <x:c r="E259">
        <x:v>3.71611774992713</x:v>
      </x:c>
    </x:row>
    <x:row r="260">
      <x:c r="A260">
        <x:v>46056</x:v>
      </x:c>
      <x:c r="B260" t="s">
        <x:v>476</x:v>
      </x:c>
      <x:c r="C260" t="s">
        <x:v>462</x:v>
      </x:c>
      <x:c r="D260">
        <x:v>1320</x:v>
      </x:c>
      <x:c r="E260">
        <x:v>7.85475837692129</x:v>
      </x:c>
    </x:row>
    <x:row r="261">
      <x:c r="A261">
        <x:v>46056</x:v>
      </x:c>
      <x:c r="B261" t="s">
        <x:v>476</x:v>
      </x:c>
      <x:c r="C261" t="s">
        <x:v>479</x:v>
      </x:c>
      <x:c r="D261">
        <x:v>170</x:v>
      </x:c>
      <x:c r="E261">
        <x:v>1.09004405060369</x:v>
      </x:c>
    </x:row>
    <x:row r="262">
      <x:c r="A262">
        <x:v>46056</x:v>
      </x:c>
      <x:c r="B262" t="s">
        <x:v>476</x:v>
      </x:c>
      <x:c r="C262" t="s">
        <x:v>475</x:v>
      </x:c>
      <x:c r="D262">
        <x:v>170</x:v>
      </x:c>
      <x:c r="E262">
        <x:v>1.09004405060369</x:v>
      </x:c>
    </x:row>
    <x:row r="263">
      <x:c r="A263">
        <x:v>46056</x:v>
      </x:c>
      <x:c r="B263" t="s">
        <x:v>476</x:v>
      </x:c>
      <x:c r="C263" t="s">
        <x:v>468</x:v>
      </x:c>
      <x:c r="D263">
        <x:v>2304</x:v>
      </x:c>
      <x:c r="E263">
        <x:v>13.9899204566154</x:v>
      </x:c>
    </x:row>
    <x:row r="264">
      <x:c r="A264">
        <x:v>46056</x:v>
      </x:c>
      <x:c r="B264" t="s">
        <x:v>476</x:v>
      </x:c>
      <x:c r="C264" t="s">
        <x:v>465</x:v>
      </x:c>
      <x:c r="D264">
        <x:v>2016</x:v>
      </x:c>
      <x:c r="E264">
        <x:v>12.2411803995385</x:v>
      </x:c>
    </x:row>
    <x:row r="265">
      <x:c r="A265">
        <x:v>46056</x:v>
      </x:c>
      <x:c r="B265" t="s">
        <x:v>476</x:v>
      </x:c>
      <x:c r="C265" t="s">
        <x:v>491</x:v>
      </x:c>
      <x:c r="D265">
        <x:v>30</x:v>
      </x:c>
      <x:c r="E265">
        <x:v>0.21859516176042</x:v>
      </x:c>
    </x:row>
    <x:row r="266">
      <x:c r="A266">
        <x:v>46056</x:v>
      </x:c>
      <x:c r="B266" t="s">
        <x:v>461</x:v>
      </x:c>
      <x:c r="C266" t="s">
        <x:v>466</x:v>
      </x:c>
      <x:c r="D266">
        <x:v>1418</x:v>
      </x:c>
      <x:c r="E266">
        <x:v>10.3322646458758</x:v>
      </x:c>
    </x:row>
    <x:row r="267">
      <x:c r="A267">
        <x:v>46056</x:v>
      </x:c>
      <x:c r="B267" t="s">
        <x:v>461</x:v>
      </x:c>
      <x:c r="C267" t="s">
        <x:v>462</x:v>
      </x:c>
      <x:c r="D267">
        <x:v>220</x:v>
      </x:c>
      <x:c r="E267">
        <x:v>1.30912639615355</x:v>
      </x:c>
    </x:row>
    <x:row r="268">
      <x:c r="A268">
        <x:v>46056</x:v>
      </x:c>
      <x:c r="B268" t="s">
        <x:v>461</x:v>
      </x:c>
      <x:c r="C268" t="s">
        <x:v>478</x:v>
      </x:c>
      <x:c r="D268">
        <x:v>680</x:v>
      </x:c>
      <x:c r="E268">
        <x:v>4.95482366656951</x:v>
      </x:c>
    </x:row>
    <x:row r="269">
      <x:c r="A269">
        <x:v>46056</x:v>
      </x:c>
      <x:c r="B269" t="s">
        <x:v>461</x:v>
      </x:c>
      <x:c r="C269" t="s">
        <x:v>475</x:v>
      </x:c>
      <x:c r="D269">
        <x:v>160</x:v>
      </x:c>
      <x:c r="E269">
        <x:v>1.02592381233289</x:v>
      </x:c>
    </x:row>
    <x:row r="270">
      <x:c r="A270">
        <x:v>46056</x:v>
      </x:c>
      <x:c r="B270" t="s">
        <x:v>461</x:v>
      </x:c>
      <x:c r="C270" t="s">
        <x:v>467</x:v>
      </x:c>
      <x:c r="D270">
        <x:v>476</x:v>
      </x:c>
      <x:c r="E270">
        <x:v>3.05212334169034</x:v>
      </x:c>
    </x:row>
    <x:row r="271">
      <x:c r="A271">
        <x:v>46056</x:v>
      </x:c>
      <x:c r="B271" t="s">
        <x:v>461</x:v>
      </x:c>
      <x:c r="C271" t="s">
        <x:v>468</x:v>
      </x:c>
      <x:c r="D271">
        <x:v>1152</x:v>
      </x:c>
      <x:c r="E271">
        <x:v>6.99496022830772</x:v>
      </x:c>
    </x:row>
    <x:row r="272">
      <x:c r="A272">
        <x:v>46056</x:v>
      </x:c>
      <x:c r="B272" t="s">
        <x:v>461</x:v>
      </x:c>
      <x:c r="C272" t="s">
        <x:v>498</x:v>
      </x:c>
      <x:c r="D272">
        <x:v>85</x:v>
      </x:c>
      <x:c r="E272">
        <x:v>0.681280807918888</x:v>
      </x:c>
    </x:row>
    <x:row r="273">
      <x:c r="A273">
        <x:v>46056</x:v>
      </x:c>
      <x:c r="B273" t="s">
        <x:v>461</x:v>
      </x:c>
      <x:c r="C273" t="s">
        <x:v>484</x:v>
      </x:c>
      <x:c r="D273">
        <x:v>1020</x:v>
      </x:c>
      <x:c r="E273">
        <x:v>7.43223549985427</x:v>
      </x:c>
    </x:row>
    <x:row r="274">
      <x:c r="A274">
        <x:v>46056</x:v>
      </x:c>
      <x:c r="B274" t="s">
        <x:v>461</x:v>
      </x:c>
      <x:c r="C274" t="s">
        <x:v>465</x:v>
      </x:c>
      <x:c r="D274">
        <x:v>2412</x:v>
      </x:c>
      <x:c r="E274">
        <x:v>14.6456979780193</x:v>
      </x:c>
    </x:row>
    <x:row r="275">
      <x:c r="A275">
        <x:v>46056</x:v>
      </x:c>
      <x:c r="B275" t="s">
        <x:v>470</x:v>
      </x:c>
      <x:c r="C275" t="s">
        <x:v>464</x:v>
      </x:c>
      <x:c r="D275">
        <x:v>110</x:v>
      </x:c>
      <x:c r="E275">
        <x:v>0.654563198076774</x:v>
      </x:c>
    </x:row>
    <x:row r="276">
      <x:c r="A276">
        <x:v>46056</x:v>
      </x:c>
      <x:c r="B276" t="s">
        <x:v>470</x:v>
      </x:c>
      <x:c r="C276" t="s">
        <x:v>474</x:v>
      </x:c>
      <x:c r="D276">
        <x:v>160</x:v>
      </x:c>
      <x:c r="E276">
        <x:v>0.94237383970221</x:v>
      </x:c>
    </x:row>
    <x:row r="277">
      <x:c r="A277" t="s">
        <x:v>456</x:v>
      </x:c>
      <x:c r="B277"/>
      <x:c r="C277"/>
      <x:c r="D277"/>
      <x:c r="E277"/>
    </x:row>
    <x:row r="278">
      <x:c r="A278" t="s">
        <x:v>122</x:v>
      </x:c>
      <x:c r="B278"/>
      <x:c r="C278"/>
      <x:c r="D278"/>
      <x:c r="E278"/>
    </x:row>
    <x:row r="279">
      <x:c r="A279" t="s">
        <x:v>457</x:v>
      </x:c>
      <x:c r="B279" t="s">
        <x:v>458</x:v>
      </x:c>
      <x:c r="C279" t="s">
        <x:v>88</x:v>
      </x:c>
      <x:c r="D279" t="s">
        <x:v>459</x:v>
      </x:c>
      <x:c r="E279" t="s">
        <x:v>460</x:v>
      </x:c>
    </x:row>
    <x:row r="280">
      <x:c r="A280">
        <x:v>46056</x:v>
      </x:c>
      <x:c r="B280" t="s">
        <x:v>470</x:v>
      </x:c>
      <x:c r="C280" t="s">
        <x:v>466</x:v>
      </x:c>
      <x:c r="D280">
        <x:v>2040</x:v>
      </x:c>
      <x:c r="E280">
        <x:v>14.8644709997085</x:v>
      </x:c>
    </x:row>
    <x:row r="281">
      <x:c r="A281">
        <x:v>46056</x:v>
      </x:c>
      <x:c r="B281" t="s">
        <x:v>470</x:v>
      </x:c>
      <x:c r="C281" t="s">
        <x:v>475</x:v>
      </x:c>
      <x:c r="D281">
        <x:v>136</x:v>
      </x:c>
      <x:c r="E281">
        <x:v>0.872035240482954</x:v>
      </x:c>
    </x:row>
    <x:row r="282">
      <x:c r="A282">
        <x:v>46056</x:v>
      </x:c>
      <x:c r="B282" t="s">
        <x:v>470</x:v>
      </x:c>
      <x:c r="C282" t="s">
        <x:v>467</x:v>
      </x:c>
      <x:c r="D282">
        <x:v>1479</x:v>
      </x:c>
      <x:c r="E282">
        <x:v>9.48338324025211</x:v>
      </x:c>
    </x:row>
    <x:row r="283">
      <x:c r="A283">
        <x:v>46056</x:v>
      </x:c>
      <x:c r="B283" t="s">
        <x:v>470</x:v>
      </x:c>
      <x:c r="C283" t="s">
        <x:v>468</x:v>
      </x:c>
      <x:c r="D283">
        <x:v>1152</x:v>
      </x:c>
      <x:c r="E283">
        <x:v>6.99496022830773</x:v>
      </x:c>
    </x:row>
    <x:row r="284">
      <x:c r="A284">
        <x:v>46056</x:v>
      </x:c>
      <x:c r="B284" t="s">
        <x:v>470</x:v>
      </x:c>
      <x:c r="C284" t="s">
        <x:v>484</x:v>
      </x:c>
      <x:c r="D284">
        <x:v>7</x:v>
      </x:c>
      <x:c r="E284">
        <x:v>0.0510055377440979</x:v>
      </x:c>
    </x:row>
    <x:row r="285">
      <x:c r="A285">
        <x:v>46056</x:v>
      </x:c>
      <x:c r="B285" t="s">
        <x:v>470</x:v>
      </x:c>
      <x:c r="C285" t="s">
        <x:v>477</x:v>
      </x:c>
      <x:c r="D285">
        <x:v>673</x:v>
      </x:c>
      <x:c r="E285">
        <x:v>4.90381812882541</x:v>
      </x:c>
    </x:row>
    <x:row r="286">
      <x:c r="A286">
        <x:v>46056</x:v>
      </x:c>
      <x:c r="B286" t="s">
        <x:v>470</x:v>
      </x:c>
      <x:c r="C286" t="s">
        <x:v>465</x:v>
      </x:c>
      <x:c r="D286">
        <x:v>3780</x:v>
      </x:c>
      <x:c r="E286">
        <x:v>22.9522132491347</x:v>
      </x:c>
    </x:row>
    <x:row r="287">
      <x:c r="A287">
        <x:v>46056</x:v>
      </x:c>
      <x:c r="B287" t="s">
        <x:v>473</x:v>
      </x:c>
      <x:c r="C287" t="s">
        <x:v>462</x:v>
      </x:c>
      <x:c r="D287">
        <x:v>5200</x:v>
      </x:c>
      <x:c r="E287">
        <x:v>30.9429875454475</x:v>
      </x:c>
    </x:row>
    <x:row r="288">
      <x:c r="A288">
        <x:v>46055</x:v>
      </x:c>
      <x:c r="B288" t="s">
        <x:v>470</x:v>
      </x:c>
      <x:c r="C288" t="s">
        <x:v>464</x:v>
      </x:c>
      <x:c r="D288">
        <x:v>110</x:v>
      </x:c>
      <x:c r="E288">
        <x:v>0.654563198076774</x:v>
      </x:c>
    </x:row>
    <x:row r="289">
      <x:c r="A289">
        <x:v>46055</x:v>
      </x:c>
      <x:c r="B289" t="s">
        <x:v>470</x:v>
      </x:c>
      <x:c r="C289" t="s">
        <x:v>467</x:v>
      </x:c>
      <x:c r="D289">
        <x:v>952</x:v>
      </x:c>
      <x:c r="E289">
        <x:v>6.10424668338067</x:v>
      </x:c>
    </x:row>
    <x:row r="290">
      <x:c r="A290">
        <x:v>46055</x:v>
      </x:c>
      <x:c r="B290" t="s">
        <x:v>470</x:v>
      </x:c>
      <x:c r="C290" t="s">
        <x:v>468</x:v>
      </x:c>
      <x:c r="D290">
        <x:v>5328</x:v>
      </x:c>
      <x:c r="E290">
        <x:v>32.3516910559232</x:v>
      </x:c>
    </x:row>
    <x:row r="291">
      <x:c r="A291">
        <x:v>46055</x:v>
      </x:c>
      <x:c r="B291" t="s">
        <x:v>470</x:v>
      </x:c>
      <x:c r="C291" t="s">
        <x:v>465</x:v>
      </x:c>
      <x:c r="D291">
        <x:v>1800</x:v>
      </x:c>
      <x:c r="E291">
        <x:v>10.9296253567308</x:v>
      </x:c>
    </x:row>
    <x:row r="292">
      <x:c r="A292">
        <x:v>46055</x:v>
      </x:c>
      <x:c r="B292" t="s">
        <x:v>476</x:v>
      </x:c>
      <x:c r="C292" t="s">
        <x:v>466</x:v>
      </x:c>
      <x:c r="D292">
        <x:v>255</x:v>
      </x:c>
      <x:c r="E292">
        <x:v>1.85805887496357</x:v>
      </x:c>
    </x:row>
    <x:row r="293">
      <x:c r="A293">
        <x:v>46055</x:v>
      </x:c>
      <x:c r="B293" t="s">
        <x:v>476</x:v>
      </x:c>
      <x:c r="C293" t="s">
        <x:v>479</x:v>
      </x:c>
      <x:c r="D293">
        <x:v>340</x:v>
      </x:c>
      <x:c r="E293">
        <x:v>2.18008810120738</x:v>
      </x:c>
    </x:row>
    <x:row r="294">
      <x:c r="A294">
        <x:v>46055</x:v>
      </x:c>
      <x:c r="B294" t="s">
        <x:v>476</x:v>
      </x:c>
      <x:c r="C294" t="s">
        <x:v>468</x:v>
      </x:c>
      <x:c r="D294">
        <x:v>1294</x:v>
      </x:c>
      <x:c r="E294">
        <x:v>7.85718622867205</x:v>
      </x:c>
    </x:row>
    <x:row r="295">
      <x:c r="A295">
        <x:v>46055</x:v>
      </x:c>
      <x:c r="B295" t="s">
        <x:v>476</x:v>
      </x:c>
      <x:c r="C295" t="s">
        <x:v>469</x:v>
      </x:c>
      <x:c r="D295">
        <x:v>30</x:v>
      </x:c>
      <x:c r="E295">
        <x:v>0.18216042261218</x:v>
      </x:c>
    </x:row>
    <x:row r="296">
      <x:c r="A296">
        <x:v>46055</x:v>
      </x:c>
      <x:c r="B296" t="s">
        <x:v>476</x:v>
      </x:c>
      <x:c r="C296" t="s">
        <x:v>477</x:v>
      </x:c>
      <x:c r="D296">
        <x:v>255</x:v>
      </x:c>
      <x:c r="E296">
        <x:v>1.85805887496356</x:v>
      </x:c>
    </x:row>
    <x:row r="297">
      <x:c r="A297">
        <x:v>46055</x:v>
      </x:c>
      <x:c r="B297" t="s">
        <x:v>476</x:v>
      </x:c>
      <x:c r="C297" t="s">
        <x:v>465</x:v>
      </x:c>
      <x:c r="D297">
        <x:v>4320</x:v>
      </x:c>
      <x:c r="E297">
        <x:v>26.2311008561539</x:v>
      </x:c>
    </x:row>
    <x:row r="298">
      <x:c r="A298">
        <x:v>46055</x:v>
      </x:c>
      <x:c r="B298" t="s">
        <x:v>476</x:v>
      </x:c>
      <x:c r="C298" t="s">
        <x:v>499</x:v>
      </x:c>
      <x:c r="D298">
        <x:v>72</x:v>
      </x:c>
      <x:c r="E298">
        <x:v>0.57708491964894</x:v>
      </x:c>
    </x:row>
    <x:row r="299">
      <x:c r="A299">
        <x:v>46055</x:v>
      </x:c>
      <x:c r="B299" t="s">
        <x:v>463</x:v>
      </x:c>
      <x:c r="C299" t="s">
        <x:v>471</x:v>
      </x:c>
      <x:c r="D299">
        <x:v>85</x:v>
      </x:c>
      <x:c r="E299">
        <x:v>0.516121197401178</x:v>
      </x:c>
    </x:row>
    <x:row r="300">
      <x:c r="A300" t="s">
        <x:v>456</x:v>
      </x:c>
      <x:c r="B300"/>
      <x:c r="C300"/>
      <x:c r="D300"/>
      <x:c r="E300"/>
    </x:row>
    <x:row r="301">
      <x:c r="A301" t="s">
        <x:v>122</x:v>
      </x:c>
      <x:c r="B301"/>
      <x:c r="C301"/>
      <x:c r="D301"/>
      <x:c r="E301"/>
    </x:row>
    <x:row r="302">
      <x:c r="A302" t="s">
        <x:v>457</x:v>
      </x:c>
      <x:c r="B302" t="s">
        <x:v>458</x:v>
      </x:c>
      <x:c r="C302" t="s">
        <x:v>88</x:v>
      </x:c>
      <x:c r="D302" t="s">
        <x:v>459</x:v>
      </x:c>
      <x:c r="E302" t="s">
        <x:v>460</x:v>
      </x:c>
    </x:row>
    <x:row r="303">
      <x:c r="A303">
        <x:v>46055</x:v>
      </x:c>
      <x:c r="B303" t="s">
        <x:v>463</x:v>
      </x:c>
      <x:c r="C303" t="s">
        <x:v>464</x:v>
      </x:c>
      <x:c r="D303">
        <x:v>20</x:v>
      </x:c>
      <x:c r="E303">
        <x:v>0.119011490559414</x:v>
      </x:c>
    </x:row>
    <x:row r="304">
      <x:c r="A304">
        <x:v>46055</x:v>
      </x:c>
      <x:c r="B304" t="s">
        <x:v>463</x:v>
      </x:c>
      <x:c r="C304" t="s">
        <x:v>468</x:v>
      </x:c>
      <x:c r="D304">
        <x:v>1440</x:v>
      </x:c>
      <x:c r="E304">
        <x:v>8.74370028538466</x:v>
      </x:c>
    </x:row>
    <x:row r="305">
      <x:c r="A305">
        <x:v>46054</x:v>
      </x:c>
      <x:c r="B305" t="s">
        <x:v>476</x:v>
      </x:c>
      <x:c r="C305" t="s">
        <x:v>498</x:v>
      </x:c>
      <x:c r="D305">
        <x:v>30</x:v>
      </x:c>
      <x:c r="E305">
        <x:v>0.240452049853725</x:v>
      </x:c>
    </x:row>
    <x:row r="306">
      <x:c r="A306">
        <x:v>46054</x:v>
      </x:c>
      <x:c r="B306" t="s">
        <x:v>473</x:v>
      </x:c>
      <x:c r="C306" t="s">
        <x:v>462</x:v>
      </x:c>
      <x:c r="D306">
        <x:v>5200</x:v>
      </x:c>
      <x:c r="E306">
        <x:v>30.9429875454475</x:v>
      </x:c>
    </x:row>
    <x:row r="307">
      <x:c r="A307">
        <x:v>46054</x:v>
      </x:c>
      <x:c r="B307" t="s">
        <x:v>476</x:v>
      </x:c>
      <x:c r="C307" t="s">
        <x:v>484</x:v>
      </x:c>
      <x:c r="D307">
        <x:v>85</x:v>
      </x:c>
      <x:c r="E307">
        <x:v>0.619352958321189</x:v>
      </x:c>
    </x:row>
    <x:row r="308">
      <x:c r="A308">
        <x:v>46054</x:v>
      </x:c>
      <x:c r="B308" t="s">
        <x:v>476</x:v>
      </x:c>
      <x:c r="C308" t="s">
        <x:v>477</x:v>
      </x:c>
      <x:c r="D308">
        <x:v>130</x:v>
      </x:c>
      <x:c r="E308">
        <x:v>0.947245700961819</x:v>
      </x:c>
    </x:row>
    <x:row r="309">
      <x:c r="A309">
        <x:v>46054</x:v>
      </x:c>
      <x:c r="B309" t="s">
        <x:v>476</x:v>
      </x:c>
      <x:c r="C309" t="s">
        <x:v>465</x:v>
      </x:c>
      <x:c r="D309">
        <x:v>1008</x:v>
      </x:c>
      <x:c r="E309">
        <x:v>6.12059019976926</x:v>
      </x:c>
    </x:row>
    <x:row r="310">
      <x:c r="A310">
        <x:v>46054</x:v>
      </x:c>
      <x:c r="B310" t="s">
        <x:v>476</x:v>
      </x:c>
      <x:c r="C310" t="s">
        <x:v>472</x:v>
      </x:c>
      <x:c r="D310">
        <x:v>85</x:v>
      </x:c>
      <x:c r="E310">
        <x:v>0.516121197401178</x:v>
      </x:c>
    </x:row>
    <x:row r="311">
      <x:c r="A311">
        <x:v>46054</x:v>
      </x:c>
      <x:c r="B311" t="s">
        <x:v>461</x:v>
      </x:c>
      <x:c r="C311" t="s">
        <x:v>467</x:v>
      </x:c>
      <x:c r="D311">
        <x:v>952</x:v>
      </x:c>
      <x:c r="E311">
        <x:v>6.10424668338067</x:v>
      </x:c>
    </x:row>
    <x:row r="312">
      <x:c r="A312">
        <x:v>46054</x:v>
      </x:c>
      <x:c r="B312" t="s">
        <x:v>470</x:v>
      </x:c>
      <x:c r="C312" t="s">
        <x:v>464</x:v>
      </x:c>
      <x:c r="D312">
        <x:v>220</x:v>
      </x:c>
      <x:c r="E312">
        <x:v>1.30912639615355</x:v>
      </x:c>
    </x:row>
    <x:row r="313">
      <x:c r="A313">
        <x:v>46054</x:v>
      </x:c>
      <x:c r="B313" t="s">
        <x:v>470</x:v>
      </x:c>
      <x:c r="C313" t="s">
        <x:v>466</x:v>
      </x:c>
      <x:c r="D313">
        <x:v>272</x:v>
      </x:c>
      <x:c r="E313">
        <x:v>1.98192946662781</x:v>
      </x:c>
    </x:row>
    <x:row r="314">
      <x:c r="A314">
        <x:v>46054</x:v>
      </x:c>
      <x:c r="B314" t="s">
        <x:v>470</x:v>
      </x:c>
      <x:c r="C314" t="s">
        <x:v>467</x:v>
      </x:c>
      <x:c r="D314">
        <x:v>680</x:v>
      </x:c>
      <x:c r="E314">
        <x:v>4.36017620241477</x:v>
      </x:c>
    </x:row>
    <x:row r="315">
      <x:c r="A315">
        <x:v>46054</x:v>
      </x:c>
      <x:c r="B315" t="s">
        <x:v>470</x:v>
      </x:c>
      <x:c r="C315" t="s">
        <x:v>465</x:v>
      </x:c>
      <x:c r="D315">
        <x:v>1260</x:v>
      </x:c>
      <x:c r="E315">
        <x:v>7.65073774971158</x:v>
      </x:c>
    </x:row>
    <x:row r="316">
      <x:c r="A316">
        <x:v>46054</x:v>
      </x:c>
      <x:c r="B316" t="s">
        <x:v>470</x:v>
      </x:c>
      <x:c r="C316" t="s">
        <x:v>468</x:v>
      </x:c>
      <x:c r="D316">
        <x:v>1260</x:v>
      </x:c>
      <x:c r="E316">
        <x:v>7.65073774971158</x:v>
      </x:c>
    </x:row>
    <x:row r="317">
      <x:c r="A317">
        <x:v>46054</x:v>
      </x:c>
      <x:c r="B317" t="s">
        <x:v>476</x:v>
      </x:c>
      <x:c r="C317" t="s">
        <x:v>471</x:v>
      </x:c>
      <x:c r="D317">
        <x:v>30</x:v>
      </x:c>
      <x:c r="E317">
        <x:v>0.18216042261218</x:v>
      </x:c>
    </x:row>
    <x:row r="318">
      <x:c r="A318">
        <x:v>46054</x:v>
      </x:c>
      <x:c r="B318" t="s">
        <x:v>476</x:v>
      </x:c>
      <x:c r="C318" t="s">
        <x:v>500</x:v>
      </x:c>
      <x:c r="D318">
        <x:v>30</x:v>
      </x:c>
      <x:c r="E318">
        <x:v>0.17851723583912</x:v>
      </x:c>
    </x:row>
    <x:row r="319">
      <x:c r="A319">
        <x:v>46054</x:v>
      </x:c>
      <x:c r="B319" t="s">
        <x:v>476</x:v>
      </x:c>
      <x:c r="C319" t="s">
        <x:v>488</x:v>
      </x:c>
      <x:c r="D319">
        <x:v>30</x:v>
      </x:c>
      <x:c r="E319">
        <x:v>0.18216042261218</x:v>
      </x:c>
    </x:row>
    <x:row r="320">
      <x:c r="A320">
        <x:v>46054</x:v>
      </x:c>
      <x:c r="B320" t="s">
        <x:v>476</x:v>
      </x:c>
      <x:c r="C320" t="s">
        <x:v>474</x:v>
      </x:c>
      <x:c r="D320">
        <x:v>550</x:v>
      </x:c>
      <x:c r="E320">
        <x:v>3.23941007397635</x:v>
      </x:c>
    </x:row>
    <x:row r="321">
      <x:c r="A321">
        <x:v>46054</x:v>
      </x:c>
      <x:c r="B321" t="s">
        <x:v>476</x:v>
      </x:c>
      <x:c r="C321" t="s">
        <x:v>489</x:v>
      </x:c>
      <x:c r="D321">
        <x:v>680</x:v>
      </x:c>
      <x:c r="E321">
        <x:v>5.28508362867624</x:v>
      </x:c>
    </x:row>
    <x:row r="322">
      <x:c r="A322">
        <x:v>46054</x:v>
      </x:c>
      <x:c r="B322" t="s">
        <x:v>476</x:v>
      </x:c>
      <x:c r="C322" t="s">
        <x:v>466</x:v>
      </x:c>
      <x:c r="D322">
        <x:v>170</x:v>
      </x:c>
      <x:c r="E322">
        <x:v>1.23870591664238</x:v>
      </x:c>
    </x:row>
    <x:row r="323">
      <x:c r="A323">
        <x:v>46054</x:v>
      </x:c>
      <x:c r="B323" t="s">
        <x:v>476</x:v>
      </x:c>
      <x:c r="C323" t="s">
        <x:v>462</x:v>
      </x:c>
      <x:c r="D323">
        <x:v>880</x:v>
      </x:c>
      <x:c r="E323">
        <x:v>5.23650558461419</x:v>
      </x:c>
    </x:row>
    <x:row r="324">
      <x:c r="A324">
        <x:v>46054</x:v>
      </x:c>
      <x:c r="B324" t="s">
        <x:v>476</x:v>
      </x:c>
      <x:c r="C324" t="s">
        <x:v>495</x:v>
      </x:c>
      <x:c r="D324">
        <x:v>340</x:v>
      </x:c>
      <x:c r="E324">
        <x:v>2.18008810120738</x:v>
      </x:c>
    </x:row>
    <x:row r="325">
      <x:c r="A325">
        <x:v>46054</x:v>
      </x:c>
      <x:c r="B325" t="s">
        <x:v>476</x:v>
      </x:c>
      <x:c r="C325" t="s">
        <x:v>479</x:v>
      </x:c>
      <x:c r="D325">
        <x:v>170</x:v>
      </x:c>
      <x:c r="E325">
        <x:v>1.09004405060369</x:v>
      </x:c>
    </x:row>
    <x:row r="326">
      <x:c r="A326">
        <x:v>46054</x:v>
      </x:c>
      <x:c r="B326" t="s">
        <x:v>476</x:v>
      </x:c>
      <x:c r="C326" t="s">
        <x:v>478</x:v>
      </x:c>
      <x:c r="D326">
        <x:v>85</x:v>
      </x:c>
      <x:c r="E326">
        <x:v>0.619352958321189</x:v>
      </x:c>
    </x:row>
    <x:row r="327">
      <x:c r="A327">
        <x:v>46054</x:v>
      </x:c>
      <x:c r="B327" t="s">
        <x:v>476</x:v>
      </x:c>
      <x:c r="C327" t="s">
        <x:v>475</x:v>
      </x:c>
      <x:c r="D327">
        <x:v>340</x:v>
      </x:c>
      <x:c r="E327">
        <x:v>2.18008810120738</x:v>
      </x:c>
    </x:row>
    <x:row r="328">
      <x:c r="A328">
        <x:v>46054</x:v>
      </x:c>
      <x:c r="B328" t="s">
        <x:v>476</x:v>
      </x:c>
      <x:c r="C328" t="s">
        <x:v>467</x:v>
      </x:c>
      <x:c r="D328">
        <x:v>2635</x:v>
      </x:c>
      <x:c r="E328">
        <x:v>16.8956827843572</x:v>
      </x:c>
    </x:row>
    <x:row r="329">
      <x:c r="A329">
        <x:v>46054</x:v>
      </x:c>
      <x:c r="B329" t="s">
        <x:v>476</x:v>
      </x:c>
      <x:c r="C329" t="s">
        <x:v>468</x:v>
      </x:c>
      <x:c r="D329">
        <x:v>3602</x:v>
      </x:c>
      <x:c r="E329">
        <x:v>21.8713947416358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7.880000114440918" hidden="0" customWidth="1"/>
    <x:col min="3" max="3" width="8.880000114440918" hidden="0" customWidth="1"/>
    <x:col min="4" max="4" width="7.880000114440918" hidden="0" customWidth="1"/>
    <x:col min="5" max="5" width="37.880001068115234" hidden="0" customWidth="1"/>
    <x:col min="6" max="6" width="7.880000114440918" hidden="0" customWidth="1"/>
  </x:cols>
  <x:sheetData>
    <x:row r="1">
      <x:c r="A1" t="s">
        <x:v>501</x:v>
      </x:c>
      <x:c r="B1"/>
      <x:c r="C1"/>
      <x:c r="D1"/>
      <x:c r="E1"/>
      <x:c r="F1"/>
    </x:row>
    <x:row r="2">
      <x:c r="A2" t="s">
        <x:v>122</x:v>
      </x:c>
      <x:c r="B2"/>
      <x:c r="C2"/>
      <x:c r="D2"/>
      <x:c r="E2"/>
      <x:c r="F2"/>
    </x:row>
    <x:row r="3">
      <x:c r="A3" t="s">
        <x:v>502</x:v>
      </x:c>
      <x:c r="B3" t="s">
        <x:v>503</x:v>
      </x:c>
      <x:c r="C3" t="s">
        <x:v>3</x:v>
      </x:c>
      <x:c r="D3" t="s">
        <x:v>504</x:v>
      </x:c>
      <x:c r="E3" t="s">
        <x:v>505</x:v>
      </x:c>
      <x:c r="F3" t="s">
        <x:v>506</x:v>
      </x:c>
    </x:row>
    <x:row r="4">
      <x:c r="A4" t="str">
        <x:v>销售员011办</x:v>
      </x:c>
      <x:c r="B4" t="s">
        <x:v>507</x:v>
      </x:c>
      <x:c r="C4" t="str">
        <x:v>销售员003</x:v>
      </x:c>
      <x:c r="D4" t="s">
        <x:v>508</x:v>
      </x:c>
      <x:c r="E4" t="s">
        <x:v>129</x:v>
      </x:c>
      <x:c r="F4">
        <x:v>9</x:v>
      </x:c>
    </x:row>
    <x:row r="5">
      <x:c r="A5" t="str">
        <x:v>销售员011办</x:v>
      </x:c>
      <x:c r="B5" t="s">
        <x:v>507</x:v>
      </x:c>
      <x:c r="C5" t="str">
        <x:v>销售员003</x:v>
      </x:c>
      <x:c r="D5" t="s">
        <x:v>508</x:v>
      </x:c>
      <x:c r="E5" t="s">
        <x:v>109</x:v>
      </x:c>
      <x:c r="F5">
        <x:v>14</x:v>
      </x:c>
    </x:row>
    <x:row r="6">
      <x:c r="A6" t="str">
        <x:v>销售员011办</x:v>
      </x:c>
      <x:c r="B6" t="s">
        <x:v>507</x:v>
      </x:c>
      <x:c r="C6" t="str">
        <x:v>销售员003</x:v>
      </x:c>
      <x:c r="D6" t="s">
        <x:v>508</x:v>
      </x:c>
      <x:c r="E6" t="s">
        <x:v>93</x:v>
      </x:c>
      <x:c r="F6">
        <x:v>10</x:v>
      </x:c>
    </x:row>
    <x:row r="7">
      <x:c r="A7" t="str">
        <x:v>销售员011办</x:v>
      </x:c>
      <x:c r="B7" t="s">
        <x:v>507</x:v>
      </x:c>
      <x:c r="C7" t="str">
        <x:v>销售员003</x:v>
      </x:c>
      <x:c r="D7" t="s">
        <x:v>508</x:v>
      </x:c>
      <x:c r="E7" t="s">
        <x:v>509</x:v>
      </x:c>
      <x:c r="F7">
        <x:v>1</x:v>
      </x:c>
    </x:row>
    <x:row r="8">
      <x:c r="A8" t="str">
        <x:v>销售员011办</x:v>
      </x:c>
      <x:c r="B8" t="s">
        <x:v>507</x:v>
      </x:c>
      <x:c r="C8" t="str">
        <x:v>销售员003</x:v>
      </x:c>
      <x:c r="D8" t="s">
        <x:v>510</x:v>
      </x:c>
      <x:c r="E8" t="s">
        <x:v>132</x:v>
      </x:c>
      <x:c r="F8">
        <x:v>86</x:v>
      </x:c>
    </x:row>
    <x:row r="9">
      <x:c r="A9" t="str">
        <x:v>销售员011办</x:v>
      </x:c>
      <x:c r="B9" t="s">
        <x:v>507</x:v>
      </x:c>
      <x:c r="C9" t="str">
        <x:v>销售员003</x:v>
      </x:c>
      <x:c r="D9" t="s">
        <x:v>510</x:v>
      </x:c>
      <x:c r="E9" t="s">
        <x:v>511</x:v>
      </x:c>
      <x:c r="F9">
        <x:v>11</x:v>
      </x:c>
    </x:row>
    <x:row r="10">
      <x:c r="A10" t="str">
        <x:v>销售员011办</x:v>
      </x:c>
      <x:c r="B10" t="s">
        <x:v>507</x:v>
      </x:c>
      <x:c r="C10" t="str">
        <x:v>销售员003</x:v>
      </x:c>
      <x:c r="D10" t="s">
        <x:v>510</x:v>
      </x:c>
      <x:c r="E10" t="s">
        <x:v>130</x:v>
      </x:c>
      <x:c r="F10">
        <x:v>27</x:v>
      </x:c>
    </x:row>
    <x:row r="11">
      <x:c r="A11" t="str">
        <x:v>销售员011办</x:v>
      </x:c>
      <x:c r="B11" t="s">
        <x:v>507</x:v>
      </x:c>
      <x:c r="C11" t="str">
        <x:v>销售员003</x:v>
      </x:c>
      <x:c r="D11" t="s">
        <x:v>510</x:v>
      </x:c>
      <x:c r="E11" t="s">
        <x:v>512</x:v>
      </x:c>
      <x:c r="F11">
        <x:v>3</x:v>
      </x:c>
    </x:row>
    <x:row r="12">
      <x:c r="A12" t="str">
        <x:v>销售员011办</x:v>
      </x:c>
      <x:c r="B12" t="s">
        <x:v>507</x:v>
      </x:c>
      <x:c r="C12" t="str">
        <x:v>销售员003</x:v>
      </x:c>
      <x:c r="D12" t="s">
        <x:v>510</x:v>
      </x:c>
      <x:c r="E12" t="s">
        <x:v>119</x:v>
      </x:c>
      <x:c r="F12">
        <x:v>1</x:v>
      </x:c>
    </x:row>
    <x:row r="13">
      <x:c r="A13" t="str">
        <x:v>销售员011办</x:v>
      </x:c>
      <x:c r="B13" t="s">
        <x:v>507</x:v>
      </x:c>
      <x:c r="C13" t="str">
        <x:v>销售员003</x:v>
      </x:c>
      <x:c r="D13" t="s">
        <x:v>510</x:v>
      </x:c>
      <x:c r="E13" t="s">
        <x:v>126</x:v>
      </x:c>
      <x:c r="F13">
        <x:v>66</x:v>
      </x:c>
    </x:row>
    <x:row r="14">
      <x:c r="A14" t="str">
        <x:v>销售员011办</x:v>
      </x:c>
      <x:c r="B14" t="s">
        <x:v>507</x:v>
      </x:c>
      <x:c r="C14" t="str">
        <x:v>销售员003</x:v>
      </x:c>
      <x:c r="D14" t="s">
        <x:v>510</x:v>
      </x:c>
      <x:c r="E14" t="s">
        <x:v>128</x:v>
      </x:c>
      <x:c r="F14">
        <x:v>4</x:v>
      </x:c>
    </x:row>
    <x:row r="15">
      <x:c r="A15" t="str">
        <x:v>销售员011办</x:v>
      </x:c>
      <x:c r="B15" t="s">
        <x:v>507</x:v>
      </x:c>
      <x:c r="C15" t="str">
        <x:v>销售员003</x:v>
      </x:c>
      <x:c r="D15" t="s">
        <x:v>510</x:v>
      </x:c>
      <x:c r="E15" t="s">
        <x:v>131</x:v>
      </x:c>
      <x:c r="F15">
        <x:v>40</x:v>
      </x:c>
    </x:row>
    <x:row r="16">
      <x:c r="A16" t="str">
        <x:v>销售员011办</x:v>
      </x:c>
      <x:c r="B16" t="s">
        <x:v>507</x:v>
      </x:c>
      <x:c r="C16" t="str">
        <x:v>销售员003</x:v>
      </x:c>
      <x:c r="D16" t="s">
        <x:v>510</x:v>
      </x:c>
      <x:c r="E16" t="s">
        <x:v>93</x:v>
      </x:c>
      <x:c r="F16">
        <x:v>3</x:v>
      </x:c>
    </x:row>
    <x:row r="17">
      <x:c r="A17" t="str">
        <x:v>销售员011办</x:v>
      </x:c>
      <x:c r="B17" t="s">
        <x:v>507</x:v>
      </x:c>
      <x:c r="C17" t="str">
        <x:v>销售员006</x:v>
      </x:c>
      <x:c r="D17" t="s">
        <x:v>508</x:v>
      </x:c>
      <x:c r="E17"/>
      <x:c r="F17">
        <x:v>7</x:v>
      </x:c>
    </x:row>
    <x:row r="18">
      <x:c r="A18" t="str">
        <x:v>销售员011办</x:v>
      </x:c>
      <x:c r="B18" t="s">
        <x:v>507</x:v>
      </x:c>
      <x:c r="C18" t="str">
        <x:v>销售员006</x:v>
      </x:c>
      <x:c r="D18" t="s">
        <x:v>508</x:v>
      </x:c>
      <x:c r="E18" t="s">
        <x:v>110</x:v>
      </x:c>
      <x:c r="F18">
        <x:v>1</x:v>
      </x:c>
    </x:row>
    <x:row r="19">
      <x:c r="A19" t="str">
        <x:v>销售员011办</x:v>
      </x:c>
      <x:c r="B19" t="s">
        <x:v>507</x:v>
      </x:c>
      <x:c r="C19" t="str">
        <x:v>销售员006</x:v>
      </x:c>
      <x:c r="D19" t="s">
        <x:v>508</x:v>
      </x:c>
      <x:c r="E19" t="s">
        <x:v>511</x:v>
      </x:c>
      <x:c r="F19">
        <x:v>1</x:v>
      </x:c>
    </x:row>
    <x:row r="20">
      <x:c r="A20" t="str">
        <x:v>销售员011办</x:v>
      </x:c>
      <x:c r="B20" t="s">
        <x:v>507</x:v>
      </x:c>
      <x:c r="C20" t="str">
        <x:v>销售员006</x:v>
      </x:c>
      <x:c r="D20" t="s">
        <x:v>508</x:v>
      </x:c>
      <x:c r="E20" t="s">
        <x:v>129</x:v>
      </x:c>
      <x:c r="F20">
        <x:v>7</x:v>
      </x:c>
    </x:row>
    <x:row r="21">
      <x:c r="A21" t="str">
        <x:v>销售员011办</x:v>
      </x:c>
      <x:c r="B21" t="s">
        <x:v>507</x:v>
      </x:c>
      <x:c r="C21" t="str">
        <x:v>销售员006</x:v>
      </x:c>
      <x:c r="D21" t="s">
        <x:v>508</x:v>
      </x:c>
      <x:c r="E21" t="s">
        <x:v>513</x:v>
      </x:c>
      <x:c r="F21">
        <x:v>2</x:v>
      </x:c>
    </x:row>
    <x:row r="22">
      <x:c r="A22" t="str">
        <x:v>销售员011办</x:v>
      </x:c>
      <x:c r="B22" t="s">
        <x:v>507</x:v>
      </x:c>
      <x:c r="C22" t="str">
        <x:v>销售员006</x:v>
      </x:c>
      <x:c r="D22" t="s">
        <x:v>508</x:v>
      </x:c>
      <x:c r="E22" t="s">
        <x:v>109</x:v>
      </x:c>
      <x:c r="F22">
        <x:v>5</x:v>
      </x:c>
    </x:row>
    <x:row r="23">
      <x:c r="A23" t="str">
        <x:v>销售员011办</x:v>
      </x:c>
      <x:c r="B23" t="s">
        <x:v>507</x:v>
      </x:c>
      <x:c r="C23" t="str">
        <x:v>销售员006</x:v>
      </x:c>
      <x:c r="D23" t="s">
        <x:v>508</x:v>
      </x:c>
      <x:c r="E23" t="s">
        <x:v>93</x:v>
      </x:c>
      <x:c r="F23">
        <x:v>6</x:v>
      </x:c>
    </x:row>
    <x:row r="24">
      <x:c r="A24" t="str">
        <x:v>销售员011办</x:v>
      </x:c>
      <x:c r="B24" t="s">
        <x:v>507</x:v>
      </x:c>
      <x:c r="C24" t="str">
        <x:v>销售员006</x:v>
      </x:c>
      <x:c r="D24" t="s">
        <x:v>508</x:v>
      </x:c>
      <x:c r="E24" t="s">
        <x:v>509</x:v>
      </x:c>
      <x:c r="F24">
        <x:v>2</x:v>
      </x:c>
    </x:row>
    <x:row r="25">
      <x:c r="A25" t="s">
        <x:v>501</x:v>
      </x:c>
      <x:c r="B25"/>
      <x:c r="C25"/>
      <x:c r="D25"/>
      <x:c r="E25"/>
      <x:c r="F25"/>
    </x:row>
    <x:row r="26">
      <x:c r="A26" t="s">
        <x:v>122</x:v>
      </x:c>
      <x:c r="B26"/>
      <x:c r="C26"/>
      <x:c r="D26"/>
      <x:c r="E26"/>
      <x:c r="F26"/>
    </x:row>
    <x:row r="27">
      <x:c r="A27" t="s">
        <x:v>502</x:v>
      </x:c>
      <x:c r="B27" t="s">
        <x:v>503</x:v>
      </x:c>
      <x:c r="C27" t="s">
        <x:v>3</x:v>
      </x:c>
      <x:c r="D27" t="s">
        <x:v>504</x:v>
      </x:c>
      <x:c r="E27" t="s">
        <x:v>505</x:v>
      </x:c>
      <x:c r="F27" t="s">
        <x:v>506</x:v>
      </x:c>
    </x:row>
    <x:row r="28">
      <x:c r="A28" t="str">
        <x:v>销售员011办</x:v>
      </x:c>
      <x:c r="B28" t="s">
        <x:v>507</x:v>
      </x:c>
      <x:c r="C28" t="str">
        <x:v>销售员006</x:v>
      </x:c>
      <x:c r="D28" t="s">
        <x:v>508</x:v>
      </x:c>
      <x:c r="E28" t="s">
        <x:v>514</x:v>
      </x:c>
      <x:c r="F28">
        <x:v>1</x:v>
      </x:c>
    </x:row>
    <x:row r="29">
      <x:c r="A29" t="str">
        <x:v>销售员011办</x:v>
      </x:c>
      <x:c r="B29" t="s">
        <x:v>507</x:v>
      </x:c>
      <x:c r="C29" t="str">
        <x:v>销售员006</x:v>
      </x:c>
      <x:c r="D29" t="s">
        <x:v>508</x:v>
      </x:c>
      <x:c r="E29" t="s">
        <x:v>127</x:v>
      </x:c>
      <x:c r="F29">
        <x:v>3</x:v>
      </x:c>
    </x:row>
    <x:row r="30">
      <x:c r="A30" t="str">
        <x:v>销售员011办</x:v>
      </x:c>
      <x:c r="B30" t="s">
        <x:v>507</x:v>
      </x:c>
      <x:c r="C30" t="str">
        <x:v>销售员006</x:v>
      </x:c>
      <x:c r="D30" t="s">
        <x:v>508</x:v>
      </x:c>
      <x:c r="E30" t="s">
        <x:v>120</x:v>
      </x:c>
      <x:c r="F30">
        <x:v>1</x:v>
      </x:c>
    </x:row>
    <x:row r="31">
      <x:c r="A31" t="str">
        <x:v>销售员011办</x:v>
      </x:c>
      <x:c r="B31" t="s">
        <x:v>507</x:v>
      </x:c>
      <x:c r="C31" t="str">
        <x:v>销售员006</x:v>
      </x:c>
      <x:c r="D31" t="s">
        <x:v>508</x:v>
      </x:c>
      <x:c r="E31" t="s">
        <x:v>511</x:v>
      </x:c>
      <x:c r="F31">
        <x:v>5</x:v>
      </x:c>
    </x:row>
    <x:row r="32">
      <x:c r="A32" t="str">
        <x:v>销售员011办</x:v>
      </x:c>
      <x:c r="B32" t="s">
        <x:v>507</x:v>
      </x:c>
      <x:c r="C32" t="str">
        <x:v>销售员006</x:v>
      </x:c>
      <x:c r="D32" t="s">
        <x:v>508</x:v>
      </x:c>
      <x:c r="E32" t="s">
        <x:v>107</x:v>
      </x:c>
      <x:c r="F32">
        <x:v>1</x:v>
      </x:c>
    </x:row>
    <x:row r="33">
      <x:c r="A33" t="str">
        <x:v>销售员011办</x:v>
      </x:c>
      <x:c r="B33" t="s">
        <x:v>507</x:v>
      </x:c>
      <x:c r="C33" t="str">
        <x:v>销售员006</x:v>
      </x:c>
      <x:c r="D33" t="s">
        <x:v>508</x:v>
      </x:c>
      <x:c r="E33" t="s">
        <x:v>129</x:v>
      </x:c>
      <x:c r="F33">
        <x:v>46</x:v>
      </x:c>
    </x:row>
    <x:row r="34">
      <x:c r="A34" t="str">
        <x:v>销售员011办</x:v>
      </x:c>
      <x:c r="B34" t="s">
        <x:v>507</x:v>
      </x:c>
      <x:c r="C34" t="str">
        <x:v>销售员006</x:v>
      </x:c>
      <x:c r="D34" t="s">
        <x:v>508</x:v>
      </x:c>
      <x:c r="E34" t="s">
        <x:v>109</x:v>
      </x:c>
      <x:c r="F34">
        <x:v>42</x:v>
      </x:c>
    </x:row>
    <x:row r="35">
      <x:c r="A35" t="str">
        <x:v>销售员011办</x:v>
      </x:c>
      <x:c r="B35" t="s">
        <x:v>507</x:v>
      </x:c>
      <x:c r="C35" t="str">
        <x:v>销售员006</x:v>
      </x:c>
      <x:c r="D35" t="s">
        <x:v>508</x:v>
      </x:c>
      <x:c r="E35" t="s">
        <x:v>93</x:v>
      </x:c>
      <x:c r="F35">
        <x:v>1</x:v>
      </x:c>
    </x:row>
    <x:row r="36">
      <x:c r="A36" t="str">
        <x:v>销售员011办</x:v>
      </x:c>
      <x:c r="B36" t="s">
        <x:v>507</x:v>
      </x:c>
      <x:c r="C36" t="str">
        <x:v>销售员004</x:v>
      </x:c>
      <x:c r="D36" t="s">
        <x:v>510</x:v>
      </x:c>
      <x:c r="E36"/>
      <x:c r="F36">
        <x:v>1</x:v>
      </x:c>
    </x:row>
    <x:row r="37">
      <x:c r="A37" t="str">
        <x:v>销售员011办</x:v>
      </x:c>
      <x:c r="B37" t="s">
        <x:v>507</x:v>
      </x:c>
      <x:c r="C37" t="str">
        <x:v>销售员004</x:v>
      </x:c>
      <x:c r="D37" t="s">
        <x:v>508</x:v>
      </x:c>
      <x:c r="E37" t="s">
        <x:v>129</x:v>
      </x:c>
      <x:c r="F37">
        <x:v>8</x:v>
      </x:c>
    </x:row>
    <x:row r="38">
      <x:c r="A38" t="str">
        <x:v>销售员011办</x:v>
      </x:c>
      <x:c r="B38" t="s">
        <x:v>507</x:v>
      </x:c>
      <x:c r="C38" t="str">
        <x:v>销售员004</x:v>
      </x:c>
      <x:c r="D38" t="s">
        <x:v>508</x:v>
      </x:c>
      <x:c r="E38" t="s">
        <x:v>109</x:v>
      </x:c>
      <x:c r="F38">
        <x:v>13</x:v>
      </x:c>
    </x:row>
    <x:row r="39">
      <x:c r="A39" t="str">
        <x:v>销售员011办</x:v>
      </x:c>
      <x:c r="B39" t="s">
        <x:v>507</x:v>
      </x:c>
      <x:c r="C39" t="str">
        <x:v>销售员004</x:v>
      </x:c>
      <x:c r="D39" t="s">
        <x:v>508</x:v>
      </x:c>
      <x:c r="E39" t="s">
        <x:v>515</x:v>
      </x:c>
      <x:c r="F39">
        <x:v>1</x:v>
      </x:c>
    </x:row>
    <x:row r="40">
      <x:c r="A40" t="str">
        <x:v>销售员011办</x:v>
      </x:c>
      <x:c r="B40" t="s">
        <x:v>507</x:v>
      </x:c>
      <x:c r="C40" t="str">
        <x:v>销售员004</x:v>
      </x:c>
      <x:c r="D40" t="s">
        <x:v>508</x:v>
      </x:c>
      <x:c r="E40" t="s">
        <x:v>95</x:v>
      </x:c>
      <x:c r="F40">
        <x:v>1</x:v>
      </x:c>
    </x:row>
    <x:row r="41">
      <x:c r="A41" t="str">
        <x:v>销售员011办</x:v>
      </x:c>
      <x:c r="B41" t="s">
        <x:v>507</x:v>
      </x:c>
      <x:c r="C41" t="str">
        <x:v>销售员004</x:v>
      </x:c>
      <x:c r="D41" t="s">
        <x:v>508</x:v>
      </x:c>
      <x:c r="E41" t="s">
        <x:v>93</x:v>
      </x:c>
      <x:c r="F41">
        <x:v>4</x:v>
      </x:c>
    </x:row>
    <x:row r="42">
      <x:c r="A42" t="str">
        <x:v>销售员011办</x:v>
      </x:c>
      <x:c r="B42" t="s">
        <x:v>507</x:v>
      </x:c>
      <x:c r="C42" t="str">
        <x:v>销售员004</x:v>
      </x:c>
      <x:c r="D42" t="s">
        <x:v>510</x:v>
      </x:c>
      <x:c r="E42" t="s">
        <x:v>132</x:v>
      </x:c>
      <x:c r="F42">
        <x:v>72</x:v>
      </x:c>
    </x:row>
    <x:row r="43">
      <x:c r="A43" t="str">
        <x:v>销售员011办</x:v>
      </x:c>
      <x:c r="B43" t="s">
        <x:v>507</x:v>
      </x:c>
      <x:c r="C43" t="str">
        <x:v>销售员004</x:v>
      </x:c>
      <x:c r="D43" t="s">
        <x:v>510</x:v>
      </x:c>
      <x:c r="E43" t="s">
        <x:v>511</x:v>
      </x:c>
      <x:c r="F43">
        <x:v>6</x:v>
      </x:c>
    </x:row>
    <x:row r="44">
      <x:c r="A44" t="str">
        <x:v>销售员011办</x:v>
      </x:c>
      <x:c r="B44" t="s">
        <x:v>507</x:v>
      </x:c>
      <x:c r="C44" t="str">
        <x:v>销售员004</x:v>
      </x:c>
      <x:c r="D44" t="s">
        <x:v>510</x:v>
      </x:c>
      <x:c r="E44" t="s">
        <x:v>130</x:v>
      </x:c>
      <x:c r="F44">
        <x:v>24</x:v>
      </x:c>
    </x:row>
    <x:row r="45">
      <x:c r="A45" t="str">
        <x:v>销售员011办</x:v>
      </x:c>
      <x:c r="B45" t="s">
        <x:v>507</x:v>
      </x:c>
      <x:c r="C45" t="str">
        <x:v>销售员004</x:v>
      </x:c>
      <x:c r="D45" t="s">
        <x:v>510</x:v>
      </x:c>
      <x:c r="E45" t="s">
        <x:v>512</x:v>
      </x:c>
      <x:c r="F45">
        <x:v>10</x:v>
      </x:c>
    </x:row>
    <x:row r="46">
      <x:c r="A46" t="str">
        <x:v>销售员011办</x:v>
      </x:c>
      <x:c r="B46" t="s">
        <x:v>507</x:v>
      </x:c>
      <x:c r="C46" t="str">
        <x:v>销售员004</x:v>
      </x:c>
      <x:c r="D46" t="s">
        <x:v>510</x:v>
      </x:c>
      <x:c r="E46" t="s">
        <x:v>119</x:v>
      </x:c>
      <x:c r="F46">
        <x:v>7</x:v>
      </x:c>
    </x:row>
    <x:row r="47">
      <x:c r="A47" t="str">
        <x:v>销售员011办</x:v>
      </x:c>
      <x:c r="B47" t="s">
        <x:v>507</x:v>
      </x:c>
      <x:c r="C47" t="str">
        <x:v>销售员004</x:v>
      </x:c>
      <x:c r="D47" t="s">
        <x:v>510</x:v>
      </x:c>
      <x:c r="E47" t="s">
        <x:v>126</x:v>
      </x:c>
      <x:c r="F47">
        <x:v>1</x:v>
      </x:c>
    </x:row>
    <x:row r="48">
      <x:c r="A48" t="s">
        <x:v>501</x:v>
      </x:c>
      <x:c r="B48"/>
      <x:c r="C48"/>
      <x:c r="D48"/>
      <x:c r="E48"/>
      <x:c r="F48"/>
    </x:row>
    <x:row r="49">
      <x:c r="A49" t="s">
        <x:v>122</x:v>
      </x:c>
      <x:c r="B49"/>
      <x:c r="C49"/>
      <x:c r="D49"/>
      <x:c r="E49"/>
      <x:c r="F49"/>
    </x:row>
    <x:row r="50">
      <x:c r="A50" t="s">
        <x:v>502</x:v>
      </x:c>
      <x:c r="B50" t="s">
        <x:v>503</x:v>
      </x:c>
      <x:c r="C50" t="s">
        <x:v>3</x:v>
      </x:c>
      <x:c r="D50" t="s">
        <x:v>504</x:v>
      </x:c>
      <x:c r="E50" t="s">
        <x:v>505</x:v>
      </x:c>
      <x:c r="F50" t="s">
        <x:v>506</x:v>
      </x:c>
    </x:row>
    <x:row r="51">
      <x:c r="A51" t="str">
        <x:v>销售员011办</x:v>
      </x:c>
      <x:c r="B51" t="s">
        <x:v>507</x:v>
      </x:c>
      <x:c r="C51" t="str">
        <x:v>销售员004</x:v>
      </x:c>
      <x:c r="D51" t="s">
        <x:v>510</x:v>
      </x:c>
      <x:c r="E51" t="s">
        <x:v>126</x:v>
      </x:c>
      <x:c r="F51">
        <x:v>55</x:v>
      </x:c>
    </x:row>
    <x:row r="52">
      <x:c r="A52" t="str">
        <x:v>销售员011办</x:v>
      </x:c>
      <x:c r="B52" t="s">
        <x:v>507</x:v>
      </x:c>
      <x:c r="C52" t="str">
        <x:v>销售员004</x:v>
      </x:c>
      <x:c r="D52" t="s">
        <x:v>510</x:v>
      </x:c>
      <x:c r="E52" t="s">
        <x:v>128</x:v>
      </x:c>
      <x:c r="F52">
        <x:v>3</x:v>
      </x:c>
    </x:row>
    <x:row r="53">
      <x:c r="A53" t="str">
        <x:v>销售员011办</x:v>
      </x:c>
      <x:c r="B53" t="s">
        <x:v>507</x:v>
      </x:c>
      <x:c r="C53" t="str">
        <x:v>销售员004</x:v>
      </x:c>
      <x:c r="D53" t="s">
        <x:v>510</x:v>
      </x:c>
      <x:c r="E53" t="s">
        <x:v>131</x:v>
      </x:c>
      <x:c r="F53">
        <x:v>39</x:v>
      </x:c>
    </x:row>
    <x:row r="54">
      <x:c r="A54" t="str">
        <x:v>销售员011办</x:v>
      </x:c>
      <x:c r="B54" t="s">
        <x:v>507</x:v>
      </x:c>
      <x:c r="C54" t="str">
        <x:v>销售员004</x:v>
      </x:c>
      <x:c r="D54" t="s">
        <x:v>510</x:v>
      </x:c>
      <x:c r="E54" t="s">
        <x:v>109</x:v>
      </x:c>
      <x:c r="F54">
        <x:v>1</x:v>
      </x:c>
    </x:row>
    <x:row r="55">
      <x:c r="A55" t="str">
        <x:v>销售员011办</x:v>
      </x:c>
      <x:c r="B55" t="s">
        <x:v>507</x:v>
      </x:c>
      <x:c r="C55" t="str">
        <x:v>销售员004</x:v>
      </x:c>
      <x:c r="D55" t="s">
        <x:v>510</x:v>
      </x:c>
      <x:c r="E55" t="s">
        <x:v>93</x:v>
      </x:c>
      <x:c r="F55">
        <x:v>3</x:v>
      </x:c>
    </x:row>
    <x:row r="56">
      <x:c r="A56" t="str">
        <x:v>销售员011办</x:v>
      </x:c>
      <x:c r="B56" t="s">
        <x:v>507</x:v>
      </x:c>
      <x:c r="C56" t="str">
        <x:v>销售员001</x:v>
      </x:c>
      <x:c r="D56" t="s">
        <x:v>508</x:v>
      </x:c>
      <x:c r="E56" t="s">
        <x:v>127</x:v>
      </x:c>
      <x:c r="F56">
        <x:v>1</x:v>
      </x:c>
    </x:row>
    <x:row r="57">
      <x:c r="A57" t="str">
        <x:v>销售员011办</x:v>
      </x:c>
      <x:c r="B57" t="s">
        <x:v>507</x:v>
      </x:c>
      <x:c r="C57" t="str">
        <x:v>销售员001</x:v>
      </x:c>
      <x:c r="D57" t="s">
        <x:v>508</x:v>
      </x:c>
      <x:c r="E57" t="s">
        <x:v>107</x:v>
      </x:c>
      <x:c r="F57">
        <x:v>1</x:v>
      </x:c>
    </x:row>
    <x:row r="58">
      <x:c r="A58" t="str">
        <x:v>销售员011办</x:v>
      </x:c>
      <x:c r="B58" t="s">
        <x:v>507</x:v>
      </x:c>
      <x:c r="C58" t="str">
        <x:v>销售员001</x:v>
      </x:c>
      <x:c r="D58" t="s">
        <x:v>508</x:v>
      </x:c>
      <x:c r="E58" t="s">
        <x:v>129</x:v>
      </x:c>
      <x:c r="F58">
        <x:v>8</x:v>
      </x:c>
    </x:row>
    <x:row r="59">
      <x:c r="A59" t="str">
        <x:v>销售员011办</x:v>
      </x:c>
      <x:c r="B59" t="s">
        <x:v>507</x:v>
      </x:c>
      <x:c r="C59" t="str">
        <x:v>销售员001</x:v>
      </x:c>
      <x:c r="D59" t="s">
        <x:v>508</x:v>
      </x:c>
      <x:c r="E59" t="s">
        <x:v>109</x:v>
      </x:c>
      <x:c r="F59">
        <x:v>13</x:v>
      </x:c>
    </x:row>
    <x:row r="60">
      <x:c r="A60" t="str">
        <x:v>销售员011办</x:v>
      </x:c>
      <x:c r="B60" t="s">
        <x:v>507</x:v>
      </x:c>
      <x:c r="C60" t="str">
        <x:v>销售员001</x:v>
      </x:c>
      <x:c r="D60" t="s">
        <x:v>508</x:v>
      </x:c>
      <x:c r="E60" t="s">
        <x:v>93</x:v>
      </x:c>
      <x:c r="F60">
        <x:v>4</x:v>
      </x:c>
    </x:row>
    <x:row r="61">
      <x:c r="A61" t="str">
        <x:v>销售员011办</x:v>
      </x:c>
      <x:c r="B61" t="s">
        <x:v>507</x:v>
      </x:c>
      <x:c r="C61" t="str">
        <x:v>销售员001</x:v>
      </x:c>
      <x:c r="D61" t="s">
        <x:v>510</x:v>
      </x:c>
      <x:c r="E61" t="s">
        <x:v>132</x:v>
      </x:c>
      <x:c r="F61">
        <x:v>54</x:v>
      </x:c>
    </x:row>
    <x:row r="62">
      <x:c r="A62" t="str">
        <x:v>销售员011办</x:v>
      </x:c>
      <x:c r="B62" t="s">
        <x:v>507</x:v>
      </x:c>
      <x:c r="C62" t="str">
        <x:v>销售员001</x:v>
      </x:c>
      <x:c r="D62" t="s">
        <x:v>510</x:v>
      </x:c>
      <x:c r="E62" t="s">
        <x:v>511</x:v>
      </x:c>
      <x:c r="F62">
        <x:v>5</x:v>
      </x:c>
    </x:row>
    <x:row r="63">
      <x:c r="A63" t="str">
        <x:v>销售员011办</x:v>
      </x:c>
      <x:c r="B63" t="s">
        <x:v>507</x:v>
      </x:c>
      <x:c r="C63" t="str">
        <x:v>销售员001</x:v>
      </x:c>
      <x:c r="D63" t="s">
        <x:v>510</x:v>
      </x:c>
      <x:c r="E63" t="s">
        <x:v>130</x:v>
      </x:c>
      <x:c r="F63">
        <x:v>19</x:v>
      </x:c>
    </x:row>
    <x:row r="64">
      <x:c r="A64" t="str">
        <x:v>销售员011办</x:v>
      </x:c>
      <x:c r="B64" t="s">
        <x:v>507</x:v>
      </x:c>
      <x:c r="C64" t="str">
        <x:v>销售员001</x:v>
      </x:c>
      <x:c r="D64" t="s">
        <x:v>510</x:v>
      </x:c>
      <x:c r="E64" t="s">
        <x:v>119</x:v>
      </x:c>
      <x:c r="F64">
        <x:v>3</x:v>
      </x:c>
    </x:row>
    <x:row r="65">
      <x:c r="A65" t="str">
        <x:v>销售员011办</x:v>
      </x:c>
      <x:c r="B65" t="s">
        <x:v>507</x:v>
      </x:c>
      <x:c r="C65" t="str">
        <x:v>销售员001</x:v>
      </x:c>
      <x:c r="D65" t="s">
        <x:v>510</x:v>
      </x:c>
      <x:c r="E65" t="s">
        <x:v>126</x:v>
      </x:c>
      <x:c r="F65">
        <x:v>67</x:v>
      </x:c>
    </x:row>
    <x:row r="66">
      <x:c r="A66" t="str">
        <x:v>销售员011办</x:v>
      </x:c>
      <x:c r="B66" t="s">
        <x:v>507</x:v>
      </x:c>
      <x:c r="C66" t="str">
        <x:v>销售员001</x:v>
      </x:c>
      <x:c r="D66" t="s">
        <x:v>510</x:v>
      </x:c>
      <x:c r="E66" t="s">
        <x:v>128</x:v>
      </x:c>
      <x:c r="F66">
        <x:v>2</x:v>
      </x:c>
    </x:row>
    <x:row r="67">
      <x:c r="A67" t="str">
        <x:v>销售员011办</x:v>
      </x:c>
      <x:c r="B67" t="s">
        <x:v>507</x:v>
      </x:c>
      <x:c r="C67" t="str">
        <x:v>销售员001</x:v>
      </x:c>
      <x:c r="D67" t="s">
        <x:v>510</x:v>
      </x:c>
      <x:c r="E67" t="s">
        <x:v>131</x:v>
      </x:c>
      <x:c r="F67">
        <x:v>37</x:v>
      </x:c>
    </x:row>
    <x:row r="68">
      <x:c r="A68" t="str">
        <x:v>销售员011办</x:v>
      </x:c>
      <x:c r="B68" t="s">
        <x:v>507</x:v>
      </x:c>
      <x:c r="C68" t="str">
        <x:v>销售员001</x:v>
      </x:c>
      <x:c r="D68" t="s">
        <x:v>510</x:v>
      </x:c>
      <x:c r="E68" t="s">
        <x:v>93</x:v>
      </x:c>
      <x:c r="F68">
        <x:v>2</x:v>
      </x:c>
    </x:row>
    <x:row r="69">
      <x:c r="A69" t="str">
        <x:v>销售员011办</x:v>
      </x:c>
      <x:c r="B69" t="s">
        <x:v>507</x:v>
      </x:c>
      <x:c r="C69" t="str">
        <x:v>销售员002</x:v>
      </x:c>
      <x:c r="D69" t="s">
        <x:v>508</x:v>
      </x:c>
      <x:c r="E69" t="s">
        <x:v>132</x:v>
      </x:c>
      <x:c r="F69">
        <x:v>1</x:v>
      </x:c>
    </x:row>
    <x:row r="70">
      <x:c r="A70" t="str">
        <x:v>销售员011办</x:v>
      </x:c>
      <x:c r="B70" t="s">
        <x:v>507</x:v>
      </x:c>
      <x:c r="C70" t="str">
        <x:v>销售员002</x:v>
      </x:c>
      <x:c r="D70" t="s">
        <x:v>508</x:v>
      </x:c>
      <x:c r="E70" t="s">
        <x:v>129</x:v>
      </x:c>
      <x:c r="F70">
        <x:v>8</x:v>
      </x:c>
    </x:row>
    <x:row r="71">
      <x:c r="A71" t="s">
        <x:v>501</x:v>
      </x:c>
      <x:c r="B71"/>
      <x:c r="C71"/>
      <x:c r="D71"/>
      <x:c r="E71"/>
      <x:c r="F71"/>
    </x:row>
    <x:row r="72">
      <x:c r="A72" t="s">
        <x:v>122</x:v>
      </x:c>
      <x:c r="B72"/>
      <x:c r="C72"/>
      <x:c r="D72"/>
      <x:c r="E72"/>
      <x:c r="F72"/>
    </x:row>
    <x:row r="73">
      <x:c r="A73" t="s">
        <x:v>502</x:v>
      </x:c>
      <x:c r="B73" t="s">
        <x:v>503</x:v>
      </x:c>
      <x:c r="C73" t="s">
        <x:v>3</x:v>
      </x:c>
      <x:c r="D73" t="s">
        <x:v>504</x:v>
      </x:c>
      <x:c r="E73" t="s">
        <x:v>505</x:v>
      </x:c>
      <x:c r="F73" t="s">
        <x:v>506</x:v>
      </x:c>
    </x:row>
    <x:row r="74">
      <x:c r="A74" t="str">
        <x:v>销售员011办</x:v>
      </x:c>
      <x:c r="B74" t="s">
        <x:v>507</x:v>
      </x:c>
      <x:c r="C74" t="str">
        <x:v>销售员002</x:v>
      </x:c>
      <x:c r="D74" t="s">
        <x:v>508</x:v>
      </x:c>
      <x:c r="E74" t="s">
        <x:v>109</x:v>
      </x:c>
      <x:c r="F74">
        <x:v>12</x:v>
      </x:c>
    </x:row>
    <x:row r="75">
      <x:c r="A75" t="str">
        <x:v>销售员011办</x:v>
      </x:c>
      <x:c r="B75" t="s">
        <x:v>507</x:v>
      </x:c>
      <x:c r="C75" t="str">
        <x:v>销售员002</x:v>
      </x:c>
      <x:c r="D75" t="s">
        <x:v>510</x:v>
      </x:c>
      <x:c r="E75" t="s">
        <x:v>132</x:v>
      </x:c>
      <x:c r="F75">
        <x:v>91</x:v>
      </x:c>
    </x:row>
    <x:row r="76">
      <x:c r="A76" t="str">
        <x:v>销售员011办</x:v>
      </x:c>
      <x:c r="B76" t="s">
        <x:v>507</x:v>
      </x:c>
      <x:c r="C76" t="str">
        <x:v>销售员002</x:v>
      </x:c>
      <x:c r="D76" t="s">
        <x:v>510</x:v>
      </x:c>
      <x:c r="E76" t="s">
        <x:v>511</x:v>
      </x:c>
      <x:c r="F76">
        <x:v>17</x:v>
      </x:c>
    </x:row>
    <x:row r="77">
      <x:c r="A77" t="str">
        <x:v>销售员011办</x:v>
      </x:c>
      <x:c r="B77" t="s">
        <x:v>507</x:v>
      </x:c>
      <x:c r="C77" t="str">
        <x:v>销售员002</x:v>
      </x:c>
      <x:c r="D77" t="s">
        <x:v>510</x:v>
      </x:c>
      <x:c r="E77" t="s">
        <x:v>130</x:v>
      </x:c>
      <x:c r="F77">
        <x:v>25</x:v>
      </x:c>
    </x:row>
    <x:row r="78">
      <x:c r="A78" t="str">
        <x:v>销售员011办</x:v>
      </x:c>
      <x:c r="B78" t="s">
        <x:v>507</x:v>
      </x:c>
      <x:c r="C78" t="str">
        <x:v>销售员002</x:v>
      </x:c>
      <x:c r="D78" t="s">
        <x:v>510</x:v>
      </x:c>
      <x:c r="E78" t="s">
        <x:v>512</x:v>
      </x:c>
      <x:c r="F78">
        <x:v>3</x:v>
      </x:c>
    </x:row>
    <x:row r="79">
      <x:c r="A79" t="str">
        <x:v>销售员011办</x:v>
      </x:c>
      <x:c r="B79" t="s">
        <x:v>507</x:v>
      </x:c>
      <x:c r="C79" t="str">
        <x:v>销售员002</x:v>
      </x:c>
      <x:c r="D79" t="s">
        <x:v>510</x:v>
      </x:c>
      <x:c r="E79" t="s">
        <x:v>119</x:v>
      </x:c>
      <x:c r="F79">
        <x:v>8</x:v>
      </x:c>
    </x:row>
    <x:row r="80">
      <x:c r="A80" t="str">
        <x:v>销售员011办</x:v>
      </x:c>
      <x:c r="B80" t="s">
        <x:v>507</x:v>
      </x:c>
      <x:c r="C80" t="str">
        <x:v>销售员002</x:v>
      </x:c>
      <x:c r="D80" t="s">
        <x:v>510</x:v>
      </x:c>
      <x:c r="E80" t="s">
        <x:v>126</x:v>
      </x:c>
      <x:c r="F80">
        <x:v>54</x:v>
      </x:c>
    </x:row>
    <x:row r="81">
      <x:c r="A81" t="str">
        <x:v>销售员011办</x:v>
      </x:c>
      <x:c r="B81" t="s">
        <x:v>507</x:v>
      </x:c>
      <x:c r="C81" t="str">
        <x:v>销售员002</x:v>
      </x:c>
      <x:c r="D81" t="s">
        <x:v>510</x:v>
      </x:c>
      <x:c r="E81" t="s">
        <x:v>129</x:v>
      </x:c>
      <x:c r="F81">
        <x:v>1</x:v>
      </x:c>
    </x:row>
    <x:row r="82">
      <x:c r="A82" t="str">
        <x:v>销售员011办</x:v>
      </x:c>
      <x:c r="B82" t="s">
        <x:v>507</x:v>
      </x:c>
      <x:c r="C82" t="str">
        <x:v>销售员002</x:v>
      </x:c>
      <x:c r="D82" t="s">
        <x:v>510</x:v>
      </x:c>
      <x:c r="E82" t="s">
        <x:v>128</x:v>
      </x:c>
      <x:c r="F82">
        <x:v>2</x:v>
      </x:c>
    </x:row>
    <x:row r="83">
      <x:c r="A83" t="str">
        <x:v>销售员011办</x:v>
      </x:c>
      <x:c r="B83" t="s">
        <x:v>507</x:v>
      </x:c>
      <x:c r="C83" t="str">
        <x:v>销售员002</x:v>
      </x:c>
      <x:c r="D83" t="s">
        <x:v>510</x:v>
      </x:c>
      <x:c r="E83" t="s">
        <x:v>131</x:v>
      </x:c>
      <x:c r="F83">
        <x:v>37</x:v>
      </x:c>
    </x:row>
    <x:row r="84">
      <x:c r="A84" t="str">
        <x:v>销售员011办</x:v>
      </x:c>
      <x:c r="B84" t="s">
        <x:v>507</x:v>
      </x:c>
      <x:c r="C84" t="str">
        <x:v>销售员002</x:v>
      </x:c>
      <x:c r="D84" t="s">
        <x:v>510</x:v>
      </x:c>
      <x:c r="E84" t="s">
        <x:v>100</x:v>
      </x:c>
      <x:c r="F84">
        <x:v>1</x:v>
      </x:c>
    </x:row>
    <x:row r="85">
      <x:c r="A85" t="str">
        <x:v>销售员011办</x:v>
      </x:c>
      <x:c r="B85" t="s">
        <x:v>507</x:v>
      </x:c>
      <x:c r="C85" t="str">
        <x:v>销售员002</x:v>
      </x:c>
      <x:c r="D85" t="s">
        <x:v>510</x:v>
      </x:c>
      <x:c r="E85" t="s">
        <x:v>93</x:v>
      </x:c>
      <x:c r="F85">
        <x:v>2</x:v>
      </x:c>
    </x:row>
    <x:row r="86">
      <x:c r="A86" t="str">
        <x:v>销售员011办</x:v>
      </x:c>
      <x:c r="B86" t="s">
        <x:v>507</x:v>
      </x:c>
      <x:c r="C86" t="str">
        <x:v>销售员005</x:v>
      </x:c>
      <x:c r="D86" t="s">
        <x:v>508</x:v>
      </x:c>
      <x:c r="E86" t="s">
        <x:v>516</x:v>
      </x:c>
      <x:c r="F86">
        <x:v>1</x:v>
      </x:c>
    </x:row>
    <x:row r="87">
      <x:c r="A87" t="str">
        <x:v>销售员011办</x:v>
      </x:c>
      <x:c r="B87" t="s">
        <x:v>507</x:v>
      </x:c>
      <x:c r="C87" t="str">
        <x:v>销售员005</x:v>
      </x:c>
      <x:c r="D87" t="s">
        <x:v>508</x:v>
      </x:c>
      <x:c r="E87" t="s">
        <x:v>110</x:v>
      </x:c>
      <x:c r="F87">
        <x:v>4</x:v>
      </x:c>
    </x:row>
    <x:row r="88">
      <x:c r="A88" t="str">
        <x:v>销售员011办</x:v>
      </x:c>
      <x:c r="B88" t="s">
        <x:v>507</x:v>
      </x:c>
      <x:c r="C88" t="str">
        <x:v>销售员005</x:v>
      </x:c>
      <x:c r="D88" t="s">
        <x:v>508</x:v>
      </x:c>
      <x:c r="E88" t="s">
        <x:v>127</x:v>
      </x:c>
      <x:c r="F88">
        <x:v>3</x:v>
      </x:c>
    </x:row>
    <x:row r="89">
      <x:c r="A89" t="str">
        <x:v>销售员011办</x:v>
      </x:c>
      <x:c r="B89" t="s">
        <x:v>507</x:v>
      </x:c>
      <x:c r="C89" t="str">
        <x:v>销售员005</x:v>
      </x:c>
      <x:c r="D89" t="s">
        <x:v>508</x:v>
      </x:c>
      <x:c r="E89" t="s">
        <x:v>120</x:v>
      </x:c>
      <x:c r="F89">
        <x:v>1</x:v>
      </x:c>
    </x:row>
    <x:row r="90">
      <x:c r="A90" t="str">
        <x:v>销售员011办</x:v>
      </x:c>
      <x:c r="B90" t="s">
        <x:v>507</x:v>
      </x:c>
      <x:c r="C90" t="str">
        <x:v>销售员005</x:v>
      </x:c>
      <x:c r="D90" t="s">
        <x:v>508</x:v>
      </x:c>
      <x:c r="E90" t="s">
        <x:v>107</x:v>
      </x:c>
      <x:c r="F90">
        <x:v>3</x:v>
      </x:c>
    </x:row>
    <x:row r="91">
      <x:c r="A91" t="str">
        <x:v>销售员011办</x:v>
      </x:c>
      <x:c r="B91" t="s">
        <x:v>507</x:v>
      </x:c>
      <x:c r="C91" t="str">
        <x:v>销售员005</x:v>
      </x:c>
      <x:c r="D91" t="s">
        <x:v>508</x:v>
      </x:c>
      <x:c r="E91" t="s">
        <x:v>129</x:v>
      </x:c>
      <x:c r="F91">
        <x:v>6</x:v>
      </x:c>
    </x:row>
    <x:row r="92">
      <x:c r="A92" t="str">
        <x:v>销售员011办</x:v>
      </x:c>
      <x:c r="B92" t="s">
        <x:v>507</x:v>
      </x:c>
      <x:c r="C92" t="str">
        <x:v>销售员005</x:v>
      </x:c>
      <x:c r="D92" t="s">
        <x:v>508</x:v>
      </x:c>
      <x:c r="E92" t="s">
        <x:v>109</x:v>
      </x:c>
      <x:c r="F92">
        <x:v>9</x:v>
      </x:c>
    </x:row>
    <x:row r="93">
      <x:c r="A93" t="str">
        <x:v>销售员011办</x:v>
      </x:c>
      <x:c r="B93" t="s">
        <x:v>507</x:v>
      </x:c>
      <x:c r="C93" t="str">
        <x:v>销售员005</x:v>
      </x:c>
      <x:c r="D93" t="s">
        <x:v>508</x:v>
      </x:c>
      <x:c r="E93" t="s">
        <x:v>95</x:v>
      </x:c>
      <x:c r="F93">
        <x:v>1</x:v>
      </x:c>
    </x:row>
    <x:row r="94">
      <x:c r="A94" t="s">
        <x:v>501</x:v>
      </x:c>
      <x:c r="B94"/>
      <x:c r="C94"/>
      <x:c r="D94"/>
      <x:c r="E94"/>
      <x:c r="F94"/>
    </x:row>
    <x:row r="95">
      <x:c r="A95" t="s">
        <x:v>122</x:v>
      </x:c>
      <x:c r="B95"/>
      <x:c r="C95"/>
      <x:c r="D95"/>
      <x:c r="E95"/>
      <x:c r="F95"/>
    </x:row>
    <x:row r="96">
      <x:c r="A96" t="s">
        <x:v>502</x:v>
      </x:c>
      <x:c r="B96" t="s">
        <x:v>503</x:v>
      </x:c>
      <x:c r="C96" t="s">
        <x:v>3</x:v>
      </x:c>
      <x:c r="D96" t="s">
        <x:v>504</x:v>
      </x:c>
      <x:c r="E96" t="s">
        <x:v>505</x:v>
      </x:c>
      <x:c r="F96" t="s">
        <x:v>506</x:v>
      </x:c>
    </x:row>
    <x:row r="97">
      <x:c r="A97" t="str">
        <x:v>销售员011办</x:v>
      </x:c>
      <x:c r="B97" t="s">
        <x:v>507</x:v>
      </x:c>
      <x:c r="C97" t="str">
        <x:v>销售员005</x:v>
      </x:c>
      <x:c r="D97" t="s">
        <x:v>508</x:v>
      </x:c>
      <x:c r="E97" t="s">
        <x:v>110</x:v>
      </x:c>
      <x:c r="F97">
        <x:v>1</x:v>
      </x:c>
    </x:row>
    <x:row r="98">
      <x:c r="A98" t="str">
        <x:v>销售员011办</x:v>
      </x:c>
      <x:c r="B98" t="s">
        <x:v>507</x:v>
      </x:c>
      <x:c r="C98" t="str">
        <x:v>销售员005</x:v>
      </x:c>
      <x:c r="D98" t="s">
        <x:v>508</x:v>
      </x:c>
      <x:c r="E98" t="s">
        <x:v>514</x:v>
      </x:c>
      <x:c r="F98">
        <x:v>1</x:v>
      </x:c>
    </x:row>
    <x:row r="99">
      <x:c r="A99" t="str">
        <x:v>销售员011办</x:v>
      </x:c>
      <x:c r="B99" t="s">
        <x:v>507</x:v>
      </x:c>
      <x:c r="C99" t="str">
        <x:v>销售员005</x:v>
      </x:c>
      <x:c r="D99" t="s">
        <x:v>508</x:v>
      </x:c>
      <x:c r="E99" t="s">
        <x:v>455</x:v>
      </x:c>
      <x:c r="F99">
        <x:v>2</x:v>
      </x:c>
    </x:row>
    <x:row r="100">
      <x:c r="A100" t="str">
        <x:v>销售员011办</x:v>
      </x:c>
      <x:c r="B100" t="s">
        <x:v>507</x:v>
      </x:c>
      <x:c r="C100" t="str">
        <x:v>销售员005</x:v>
      </x:c>
      <x:c r="D100" t="s">
        <x:v>508</x:v>
      </x:c>
      <x:c r="E100" t="s">
        <x:v>127</x:v>
      </x:c>
      <x:c r="F100">
        <x:v>3</x:v>
      </x:c>
    </x:row>
    <x:row r="101">
      <x:c r="A101" t="str">
        <x:v>销售员011办</x:v>
      </x:c>
      <x:c r="B101" t="s">
        <x:v>507</x:v>
      </x:c>
      <x:c r="C101" t="str">
        <x:v>销售员005</x:v>
      </x:c>
      <x:c r="D101" t="s">
        <x:v>508</x:v>
      </x:c>
      <x:c r="E101" t="s">
        <x:v>132</x:v>
      </x:c>
      <x:c r="F101">
        <x:v>1</x:v>
      </x:c>
    </x:row>
    <x:row r="102">
      <x:c r="A102" t="str">
        <x:v>销售员011办</x:v>
      </x:c>
      <x:c r="B102" t="s">
        <x:v>507</x:v>
      </x:c>
      <x:c r="C102" t="str">
        <x:v>销售员005</x:v>
      </x:c>
      <x:c r="D102" t="s">
        <x:v>508</x:v>
      </x:c>
      <x:c r="E102" t="s">
        <x:v>120</x:v>
      </x:c>
      <x:c r="F102">
        <x:v>1</x:v>
      </x:c>
    </x:row>
    <x:row r="103">
      <x:c r="A103" t="str">
        <x:v>销售员011办</x:v>
      </x:c>
      <x:c r="B103" t="s">
        <x:v>507</x:v>
      </x:c>
      <x:c r="C103" t="str">
        <x:v>销售员005</x:v>
      </x:c>
      <x:c r="D103" t="s">
        <x:v>508</x:v>
      </x:c>
      <x:c r="E103" t="s">
        <x:v>511</x:v>
      </x:c>
      <x:c r="F103">
        <x:v>6</x:v>
      </x:c>
    </x:row>
    <x:row r="104">
      <x:c r="A104" t="str">
        <x:v>销售员011办</x:v>
      </x:c>
      <x:c r="B104" t="s">
        <x:v>507</x:v>
      </x:c>
      <x:c r="C104" t="str">
        <x:v>销售员005</x:v>
      </x:c>
      <x:c r="D104" t="s">
        <x:v>508</x:v>
      </x:c>
      <x:c r="E104" t="s">
        <x:v>107</x:v>
      </x:c>
      <x:c r="F104">
        <x:v>1</x:v>
      </x:c>
    </x:row>
    <x:row r="105">
      <x:c r="A105" t="str">
        <x:v>销售员011办</x:v>
      </x:c>
      <x:c r="B105" t="s">
        <x:v>507</x:v>
      </x:c>
      <x:c r="C105" t="str">
        <x:v>销售员005</x:v>
      </x:c>
      <x:c r="D105" t="s">
        <x:v>508</x:v>
      </x:c>
      <x:c r="E105" t="s">
        <x:v>517</x:v>
      </x:c>
      <x:c r="F105">
        <x:v>1</x:v>
      </x:c>
    </x:row>
    <x:row r="106">
      <x:c r="A106" t="str">
        <x:v>销售员011办</x:v>
      </x:c>
      <x:c r="B106" t="s">
        <x:v>507</x:v>
      </x:c>
      <x:c r="C106" t="str">
        <x:v>销售员005</x:v>
      </x:c>
      <x:c r="D106" t="s">
        <x:v>508</x:v>
      </x:c>
      <x:c r="E106" t="s">
        <x:v>112</x:v>
      </x:c>
      <x:c r="F106">
        <x:v>1</x:v>
      </x:c>
    </x:row>
    <x:row r="107">
      <x:c r="A107" t="str">
        <x:v>销售员011办</x:v>
      </x:c>
      <x:c r="B107" t="s">
        <x:v>507</x:v>
      </x:c>
      <x:c r="C107" t="str">
        <x:v>销售员005</x:v>
      </x:c>
      <x:c r="D107" t="s">
        <x:v>508</x:v>
      </x:c>
      <x:c r="E107" t="s">
        <x:v>129</x:v>
      </x:c>
      <x:c r="F107">
        <x:v>77</x:v>
      </x:c>
    </x:row>
    <x:row r="108">
      <x:c r="A108" t="str">
        <x:v>销售员011办</x:v>
      </x:c>
      <x:c r="B108" t="s">
        <x:v>507</x:v>
      </x:c>
      <x:c r="C108" t="str">
        <x:v>销售员005</x:v>
      </x:c>
      <x:c r="D108" t="s">
        <x:v>508</x:v>
      </x:c>
      <x:c r="E108" t="s">
        <x:v>513</x:v>
      </x:c>
      <x:c r="F108">
        <x:v>2</x:v>
      </x:c>
    </x:row>
    <x:row r="109">
      <x:c r="A109" t="str">
        <x:v>销售员011办</x:v>
      </x:c>
      <x:c r="B109" t="s">
        <x:v>507</x:v>
      </x:c>
      <x:c r="C109" t="str">
        <x:v>销售员005</x:v>
      </x:c>
      <x:c r="D109" t="s">
        <x:v>508</x:v>
      </x:c>
      <x:c r="E109" t="s">
        <x:v>109</x:v>
      </x:c>
      <x:c r="F109">
        <x:v>44</x:v>
      </x:c>
    </x:row>
    <x:row r="110">
      <x:c r="A110" t="str">
        <x:v>销售员011办</x:v>
      </x:c>
      <x:c r="B110" t="s">
        <x:v>507</x:v>
      </x:c>
      <x:c r="C110" t="str">
        <x:v>销售员005</x:v>
      </x:c>
      <x:c r="D110" t="s">
        <x:v>508</x:v>
      </x:c>
      <x:c r="E110" t="s">
        <x:v>93</x:v>
      </x:c>
      <x:c r="F110">
        <x:v>17</x:v>
      </x:c>
    </x:row>
    <x:row r="111">
      <x:c r="A111" t="str">
        <x:v>销售员011办</x:v>
      </x:c>
      <x:c r="B111" t="s">
        <x:v>507</x:v>
      </x:c>
      <x:c r="C111" t="str">
        <x:v>销售员005</x:v>
      </x:c>
      <x:c r="D111" t="s">
        <x:v>508</x:v>
      </x:c>
      <x:c r="E111" t="s">
        <x:v>509</x:v>
      </x:c>
      <x:c r="F111">
        <x:v>5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12" hidden="0" customWidth="1"/>
    <x:col min="3" max="3" width="7.880000114440918" hidden="0" customWidth="1"/>
    <x:col min="4" max="4" width="13.380000114440918" hidden="0" customWidth="1"/>
    <x:col min="5" max="5" width="7.880000114440918" hidden="0" customWidth="1"/>
    <x:col min="6" max="6" width="9.75" hidden="0" customWidth="1"/>
    <x:col min="7" max="7" width="17.25" hidden="0" customWidth="1"/>
    <x:col min="8" max="8" width="21.25" hidden="0" customWidth="1"/>
    <x:col min="9" max="9" width="11.5" hidden="0" customWidth="1"/>
    <x:col min="10" max="10" width="4.25" hidden="0" customWidth="1"/>
    <x:col min="11" max="11" width="6" hidden="0" customWidth="1"/>
  </x:cols>
  <x:sheetData>
    <x:row r="1">
      <x:c r="A1" t="s">
        <x:v>148</x:v>
      </x:c>
      <x:c r="B1" t="s">
        <x:v>318</x:v>
      </x:c>
      <x:c r="C1" t="s">
        <x:v>149</x:v>
      </x:c>
      <x:c r="D1" t="s">
        <x:v>518</x:v>
      </x:c>
      <x:c r="E1" t="s">
        <x:v>519</x:v>
      </x:c>
      <x:c r="F1" t="s">
        <x:v>520</x:v>
      </x:c>
      <x:c r="G1" t="s">
        <x:v>521</x:v>
      </x:c>
      <x:c r="H1" t="s">
        <x:v>522</x:v>
      </x:c>
      <x:c r="I1" t="s">
        <x:v>523</x:v>
      </x:c>
      <x:c r="J1" t="s">
        <x:v>77</x:v>
      </x:c>
      <x:c r="K1" t="s">
        <x:v>524</x:v>
      </x:c>
    </x:row>
    <x:row r="2">
      <x:c r="A2">
        <x:v>1</x:v>
      </x:c>
      <x:c r="B2" t="s">
        <x:v>525</x:v>
      </x:c>
      <x:c r="C2" t="str">
        <x:v>终端127</x:v>
      </x:c>
      <x:c r="D2" t="str">
        <x:v>销售员002</x:v>
      </x:c>
      <x:c r="E2" t="s">
        <x:v>526</x:v>
      </x:c>
      <x:c r="F2" t="s">
        <x:v>527</x:v>
      </x:c>
      <x:c r="G2" t="s">
        <x:v>528</x:v>
      </x:c>
      <x:c r="H2">
        <x:v>0</x:v>
      </x:c>
      <x:c r="I2">
        <x:v>100</x:v>
      </x:c>
      <x:c r="J2">
        <x:v>-100</x:v>
      </x:c>
      <x:c r="K2" t="s">
        <x:v>529</x:v>
      </x:c>
    </x:row>
    <x:row r="3">
      <x:c r="A3">
        <x:v>2</x:v>
      </x:c>
      <x:c r="B3" t="s">
        <x:v>530</x:v>
      </x:c>
      <x:c r="C3" t="str">
        <x:v>终端128</x:v>
      </x:c>
      <x:c r="D3" t="str">
        <x:v>销售员002</x:v>
      </x:c>
      <x:c r="E3" t="s">
        <x:v>526</x:v>
      </x:c>
      <x:c r="F3" t="s">
        <x:v>527</x:v>
      </x:c>
      <x:c r="G3" t="s">
        <x:v>528</x:v>
      </x:c>
      <x:c r="H3">
        <x:v>0</x:v>
      </x:c>
      <x:c r="I3">
        <x:v>100</x:v>
      </x:c>
      <x:c r="J3">
        <x:v>-100</x:v>
      </x:c>
      <x:c r="K3" t="s">
        <x:v>529</x:v>
      </x:c>
    </x:row>
    <x:row r="4">
      <x:c r="A4">
        <x:v>3</x:v>
      </x:c>
      <x:c r="B4" t="s">
        <x:v>531</x:v>
      </x:c>
      <x:c r="C4" t="str">
        <x:v>终端129</x:v>
      </x:c>
      <x:c r="D4" t="str">
        <x:v>销售员002</x:v>
      </x:c>
      <x:c r="E4" t="s">
        <x:v>526</x:v>
      </x:c>
      <x:c r="F4" t="s">
        <x:v>527</x:v>
      </x:c>
      <x:c r="G4" t="s">
        <x:v>528</x:v>
      </x:c>
      <x:c r="H4">
        <x:v>0</x:v>
      </x:c>
      <x:c r="I4">
        <x:v>100</x:v>
      </x:c>
      <x:c r="J4">
        <x:v>-100</x:v>
      </x:c>
      <x:c r="K4" t="s">
        <x:v>529</x:v>
      </x:c>
    </x:row>
    <x:row r="5">
      <x:c r="A5">
        <x:v>4</x:v>
      </x:c>
      <x:c r="B5" t="s">
        <x:v>532</x:v>
      </x:c>
      <x:c r="C5" t="str">
        <x:v>终端130</x:v>
      </x:c>
      <x:c r="D5" t="str">
        <x:v>销售员002</x:v>
      </x:c>
      <x:c r="E5" t="s">
        <x:v>526</x:v>
      </x:c>
      <x:c r="F5" t="s">
        <x:v>527</x:v>
      </x:c>
      <x:c r="G5" t="s">
        <x:v>528</x:v>
      </x:c>
      <x:c r="H5">
        <x:v>0</x:v>
      </x:c>
      <x:c r="I5">
        <x:v>100</x:v>
      </x:c>
      <x:c r="J5">
        <x:v>-100</x:v>
      </x:c>
      <x:c r="K5" t="s">
        <x:v>529</x:v>
      </x:c>
    </x:row>
    <x:row r="6">
      <x:c r="A6">
        <x:v>5</x:v>
      </x:c>
      <x:c r="B6" t="s">
        <x:v>533</x:v>
      </x:c>
      <x:c r="C6" t="str">
        <x:v>终端131</x:v>
      </x:c>
      <x:c r="D6" t="str">
        <x:v>销售员002</x:v>
      </x:c>
      <x:c r="E6" t="s">
        <x:v>526</x:v>
      </x:c>
      <x:c r="F6" t="s">
        <x:v>527</x:v>
      </x:c>
      <x:c r="G6" t="s">
        <x:v>528</x:v>
      </x:c>
      <x:c r="H6">
        <x:v>0</x:v>
      </x:c>
      <x:c r="I6">
        <x:v>100</x:v>
      </x:c>
      <x:c r="J6">
        <x:v>-100</x:v>
      </x:c>
      <x:c r="K6" t="s">
        <x:v>529</x:v>
      </x:c>
    </x:row>
    <x:row r="7">
      <x:c r="A7">
        <x:v>6</x:v>
      </x:c>
      <x:c r="B7" t="s">
        <x:v>534</x:v>
      </x:c>
      <x:c r="C7" t="str">
        <x:v>终端132</x:v>
      </x:c>
      <x:c r="D7" t="str">
        <x:v>销售员002</x:v>
      </x:c>
      <x:c r="E7" t="s">
        <x:v>526</x:v>
      </x:c>
      <x:c r="F7" t="s">
        <x:v>527</x:v>
      </x:c>
      <x:c r="G7" t="s">
        <x:v>528</x:v>
      </x:c>
      <x:c r="H7">
        <x:v>0</x:v>
      </x:c>
      <x:c r="I7">
        <x:v>100</x:v>
      </x:c>
      <x:c r="J7">
        <x:v>-100</x:v>
      </x:c>
      <x:c r="K7" t="s">
        <x:v>529</x:v>
      </x:c>
    </x:row>
    <x:row r="8">
      <x:c r="A8">
        <x:v>7</x:v>
      </x:c>
      <x:c r="B8" t="s">
        <x:v>535</x:v>
      </x:c>
      <x:c r="C8" t="str">
        <x:v>终端133</x:v>
      </x:c>
      <x:c r="D8" t="str">
        <x:v>销售员002</x:v>
      </x:c>
      <x:c r="E8" t="s">
        <x:v>526</x:v>
      </x:c>
      <x:c r="F8" t="s">
        <x:v>536</x:v>
      </x:c>
      <x:c r="G8" t="s">
        <x:v>537</x:v>
      </x:c>
      <x:c r="H8">
        <x:v>0</x:v>
      </x:c>
      <x:c r="I8">
        <x:v>50</x:v>
      </x:c>
      <x:c r="J8">
        <x:v>-50</x:v>
      </x:c>
      <x:c r="K8" t="s">
        <x:v>529</x:v>
      </x:c>
    </x:row>
    <x:row r="9">
      <x:c r="A9">
        <x:v>8</x:v>
      </x:c>
      <x:c r="B9" t="s">
        <x:v>538</x:v>
      </x:c>
      <x:c r="C9" t="str">
        <x:v>终端134</x:v>
      </x:c>
      <x:c r="D9" t="str">
        <x:v>销售员002</x:v>
      </x:c>
      <x:c r="E9" t="s">
        <x:v>526</x:v>
      </x:c>
      <x:c r="F9" t="s">
        <x:v>536</x:v>
      </x:c>
      <x:c r="G9" t="s">
        <x:v>537</x:v>
      </x:c>
      <x:c r="H9">
        <x:v>0</x:v>
      </x:c>
      <x:c r="I9">
        <x:v>50</x:v>
      </x:c>
      <x:c r="J9">
        <x:v>-50</x:v>
      </x:c>
      <x:c r="K9" t="s">
        <x:v>529</x:v>
      </x:c>
    </x:row>
    <x:row r="10">
      <x:c r="A10">
        <x:v>9</x:v>
      </x:c>
      <x:c r="B10" t="s">
        <x:v>539</x:v>
      </x:c>
      <x:c r="C10" t="str">
        <x:v>终端135</x:v>
      </x:c>
      <x:c r="D10" t="str">
        <x:v>销售员002</x:v>
      </x:c>
      <x:c r="E10" t="s">
        <x:v>526</x:v>
      </x:c>
      <x:c r="F10" t="s">
        <x:v>536</x:v>
      </x:c>
      <x:c r="G10" t="s">
        <x:v>537</x:v>
      </x:c>
      <x:c r="H10">
        <x:v>0</x:v>
      </x:c>
      <x:c r="I10">
        <x:v>50</x:v>
      </x:c>
      <x:c r="J10">
        <x:v>-50</x:v>
      </x:c>
      <x:c r="K10" t="s">
        <x:v>529</x:v>
      </x:c>
    </x:row>
    <x:row r="11">
      <x:c r="A11">
        <x:v>10</x:v>
      </x:c>
      <x:c r="B11" t="s">
        <x:v>540</x:v>
      </x:c>
      <x:c r="C11" t="str">
        <x:v>终端136</x:v>
      </x:c>
      <x:c r="D11" t="str">
        <x:v>销售员002</x:v>
      </x:c>
      <x:c r="E11" t="s">
        <x:v>526</x:v>
      </x:c>
      <x:c r="F11" t="s">
        <x:v>541</x:v>
      </x:c>
      <x:c r="G11" t="s">
        <x:v>542</x:v>
      </x:c>
      <x:c r="H11">
        <x:v>0</x:v>
      </x:c>
      <x:c r="I11">
        <x:v>30</x:v>
      </x:c>
      <x:c r="J11">
        <x:v>-30</x:v>
      </x:c>
      <x:c r="K11" t="s">
        <x:v>529</x:v>
      </x:c>
    </x:row>
    <x:row r="12">
      <x:c r="A12">
        <x:v>11</x:v>
      </x:c>
      <x:c r="B12" t="s">
        <x:v>543</x:v>
      </x:c>
      <x:c r="C12" t="str">
        <x:v>终端137</x:v>
      </x:c>
      <x:c r="D12" t="str">
        <x:v>销售员002</x:v>
      </x:c>
      <x:c r="E12" t="s">
        <x:v>526</x:v>
      </x:c>
      <x:c r="F12" t="s">
        <x:v>541</x:v>
      </x:c>
      <x:c r="G12" t="s">
        <x:v>542</x:v>
      </x:c>
      <x:c r="H12">
        <x:v>0</x:v>
      </x:c>
      <x:c r="I12">
        <x:v>30</x:v>
      </x:c>
      <x:c r="J12">
        <x:v>-30</x:v>
      </x:c>
      <x:c r="K12" t="s">
        <x:v>529</x:v>
      </x:c>
    </x:row>
    <x:row r="13">
      <x:c r="A13">
        <x:v>12</x:v>
      </x:c>
      <x:c r="B13" t="s">
        <x:v>544</x:v>
      </x:c>
      <x:c r="C13" t="str">
        <x:v>终端138</x:v>
      </x:c>
      <x:c r="D13" t="str">
        <x:v>销售员002</x:v>
      </x:c>
      <x:c r="E13" t="s">
        <x:v>526</x:v>
      </x:c>
      <x:c r="F13" t="s">
        <x:v>541</x:v>
      </x:c>
      <x:c r="G13" t="s">
        <x:v>542</x:v>
      </x:c>
      <x:c r="H13">
        <x:v>0</x:v>
      </x:c>
      <x:c r="I13">
        <x:v>30</x:v>
      </x:c>
      <x:c r="J13">
        <x:v>-30</x:v>
      </x:c>
      <x:c r="K13" t="s">
        <x:v>529</x:v>
      </x:c>
    </x:row>
    <x:row r="14">
      <x:c r="A14">
        <x:v>13</x:v>
      </x:c>
      <x:c r="B14" t="s">
        <x:v>545</x:v>
      </x:c>
      <x:c r="C14" t="str">
        <x:v>终端139</x:v>
      </x:c>
      <x:c r="D14" t="str">
        <x:v>销售员002</x:v>
      </x:c>
      <x:c r="E14" t="s">
        <x:v>526</x:v>
      </x:c>
      <x:c r="F14" t="s">
        <x:v>541</x:v>
      </x:c>
      <x:c r="G14" t="s">
        <x:v>542</x:v>
      </x:c>
      <x:c r="H14">
        <x:v>0</x:v>
      </x:c>
      <x:c r="I14">
        <x:v>30</x:v>
      </x:c>
      <x:c r="J14">
        <x:v>-30</x:v>
      </x:c>
      <x:c r="K14" t="s">
        <x:v>529</x:v>
      </x:c>
    </x:row>
    <x:row r="15">
      <x:c r="A15">
        <x:v>14</x:v>
      </x:c>
      <x:c r="B15" t="s">
        <x:v>546</x:v>
      </x:c>
      <x:c r="C15" t="str">
        <x:v>终端140</x:v>
      </x:c>
      <x:c r="D15" t="str">
        <x:v>销售员002</x:v>
      </x:c>
      <x:c r="E15" t="s">
        <x:v>526</x:v>
      </x:c>
      <x:c r="F15" t="s">
        <x:v>541</x:v>
      </x:c>
      <x:c r="G15" t="s">
        <x:v>542</x:v>
      </x:c>
      <x:c r="H15">
        <x:v>0</x:v>
      </x:c>
      <x:c r="I15">
        <x:v>30</x:v>
      </x:c>
      <x:c r="J15">
        <x:v>-30</x:v>
      </x:c>
      <x:c r="K15" t="s">
        <x:v>529</x:v>
      </x:c>
    </x:row>
    <x:row r="16">
      <x:c r="A16">
        <x:v>15</x:v>
      </x:c>
      <x:c r="B16" t="s">
        <x:v>547</x:v>
      </x:c>
      <x:c r="C16" t="str">
        <x:v>终端141</x:v>
      </x:c>
      <x:c r="D16" t="str">
        <x:v>销售员002</x:v>
      </x:c>
      <x:c r="E16" t="s">
        <x:v>526</x:v>
      </x:c>
      <x:c r="F16" t="s">
        <x:v>541</x:v>
      </x:c>
      <x:c r="G16" t="s">
        <x:v>542</x:v>
      </x:c>
      <x:c r="H16">
        <x:v>0</x:v>
      </x:c>
      <x:c r="I16">
        <x:v>30</x:v>
      </x:c>
      <x:c r="J16">
        <x:v>-30</x:v>
      </x:c>
      <x:c r="K16" t="s">
        <x:v>529</x:v>
      </x:c>
    </x:row>
    <x:row r="17">
      <x:c r="A17">
        <x:v>16</x:v>
      </x:c>
      <x:c r="B17" t="s">
        <x:v>548</x:v>
      </x:c>
      <x:c r="C17" t="str">
        <x:v>终端142</x:v>
      </x:c>
      <x:c r="D17" t="str">
        <x:v>销售员002</x:v>
      </x:c>
      <x:c r="E17" t="s">
        <x:v>526</x:v>
      </x:c>
      <x:c r="F17" t="s">
        <x:v>541</x:v>
      </x:c>
      <x:c r="G17" t="s">
        <x:v>542</x:v>
      </x:c>
      <x:c r="H17">
        <x:v>0</x:v>
      </x:c>
      <x:c r="I17">
        <x:v>30</x:v>
      </x:c>
      <x:c r="J17">
        <x:v>-30</x:v>
      </x:c>
      <x:c r="K17" t="s">
        <x:v>529</x:v>
      </x:c>
    </x:row>
    <x:row r="18">
      <x:c r="A18">
        <x:v>17</x:v>
      </x:c>
      <x:c r="B18" t="s">
        <x:v>549</x:v>
      </x:c>
      <x:c r="C18" t="str">
        <x:v>终端143</x:v>
      </x:c>
      <x:c r="D18" t="str">
        <x:v>销售员002</x:v>
      </x:c>
      <x:c r="E18" t="s">
        <x:v>526</x:v>
      </x:c>
      <x:c r="F18" t="s">
        <x:v>541</x:v>
      </x:c>
      <x:c r="G18" t="s">
        <x:v>542</x:v>
      </x:c>
      <x:c r="H18">
        <x:v>0</x:v>
      </x:c>
      <x:c r="I18">
        <x:v>30</x:v>
      </x:c>
      <x:c r="J18">
        <x:v>-30</x:v>
      </x:c>
      <x:c r="K18" t="s">
        <x:v>529</x:v>
      </x:c>
    </x:row>
    <x:row r="19">
      <x:c r="A19">
        <x:v>18</x:v>
      </x:c>
      <x:c r="B19" t="s">
        <x:v>550</x:v>
      </x:c>
      <x:c r="C19" t="str">
        <x:v>终端144</x:v>
      </x:c>
      <x:c r="D19" t="str">
        <x:v>销售员002</x:v>
      </x:c>
      <x:c r="E19" t="s">
        <x:v>526</x:v>
      </x:c>
      <x:c r="F19" t="s">
        <x:v>541</x:v>
      </x:c>
      <x:c r="G19" t="s">
        <x:v>551</x:v>
      </x:c>
      <x:c r="H19">
        <x:v>0</x:v>
      </x:c>
      <x:c r="I19">
        <x:v>30</x:v>
      </x:c>
      <x:c r="J19">
        <x:v>-30</x:v>
      </x:c>
      <x:c r="K19" t="s">
        <x:v>529</x:v>
      </x:c>
    </x:row>
    <x:row r="20">
      <x:c r="A20">
        <x:v>19</x:v>
      </x:c>
      <x:c r="B20" t="s">
        <x:v>552</x:v>
      </x:c>
      <x:c r="C20" t="str">
        <x:v>终端145</x:v>
      </x:c>
      <x:c r="D20" t="str">
        <x:v>销售员002</x:v>
      </x:c>
      <x:c r="E20" t="s">
        <x:v>526</x:v>
      </x:c>
      <x:c r="F20" t="s">
        <x:v>541</x:v>
      </x:c>
      <x:c r="G20" t="s">
        <x:v>551</x:v>
      </x:c>
      <x:c r="H20">
        <x:v>0</x:v>
      </x:c>
      <x:c r="I20">
        <x:v>30</x:v>
      </x:c>
      <x:c r="J20">
        <x:v>-30</x:v>
      </x:c>
      <x:c r="K20" t="s">
        <x:v>529</x:v>
      </x:c>
    </x:row>
    <x:row r="21">
      <x:c r="A21">
        <x:v>20</x:v>
      </x:c>
      <x:c r="B21" t="s">
        <x:v>553</x:v>
      </x:c>
      <x:c r="C21" t="str">
        <x:v>终端146</x:v>
      </x:c>
      <x:c r="D21" t="str">
        <x:v>销售员002</x:v>
      </x:c>
      <x:c r="E21" t="s">
        <x:v>526</x:v>
      </x:c>
      <x:c r="F21" t="s">
        <x:v>541</x:v>
      </x:c>
      <x:c r="G21" t="s">
        <x:v>551</x:v>
      </x:c>
      <x:c r="H21">
        <x:v>0</x:v>
      </x:c>
      <x:c r="I21">
        <x:v>30</x:v>
      </x:c>
      <x:c r="J21">
        <x:v>-30</x:v>
      </x:c>
      <x:c r="K21" t="s">
        <x:v>529</x:v>
      </x:c>
    </x:row>
    <x:row r="22">
      <x:c r="A22">
        <x:v>21</x:v>
      </x:c>
      <x:c r="B22" t="s">
        <x:v>554</x:v>
      </x:c>
      <x:c r="C22" t="str">
        <x:v>终端147</x:v>
      </x:c>
      <x:c r="D22" t="str">
        <x:v>销售员002</x:v>
      </x:c>
      <x:c r="E22" t="s">
        <x:v>526</x:v>
      </x:c>
      <x:c r="F22" t="s">
        <x:v>541</x:v>
      </x:c>
      <x:c r="G22" t="s">
        <x:v>551</x:v>
      </x:c>
      <x:c r="H22">
        <x:v>0</x:v>
      </x:c>
      <x:c r="I22">
        <x:v>30</x:v>
      </x:c>
      <x:c r="J22">
        <x:v>-30</x:v>
      </x:c>
      <x:c r="K22" t="s">
        <x:v>529</x:v>
      </x:c>
    </x:row>
    <x:row r="23">
      <x:c r="A23">
        <x:v>22</x:v>
      </x:c>
      <x:c r="B23" t="s">
        <x:v>555</x:v>
      </x:c>
      <x:c r="C23" t="str">
        <x:v>终端148</x:v>
      </x:c>
      <x:c r="D23" t="str">
        <x:v>销售员002</x:v>
      </x:c>
      <x:c r="E23" t="s">
        <x:v>526</x:v>
      </x:c>
      <x:c r="F23" t="s">
        <x:v>556</x:v>
      </x:c>
      <x:c r="G23" t="s">
        <x:v>557</x:v>
      </x:c>
      <x:c r="H23">
        <x:v>0</x:v>
      </x:c>
      <x:c r="I23">
        <x:v>70</x:v>
      </x:c>
      <x:c r="J23">
        <x:v>-70</x:v>
      </x:c>
      <x:c r="K23" t="s">
        <x:v>529</x:v>
      </x:c>
    </x:row>
    <x:row r="24">
      <x:c r="A24">
        <x:v>23</x:v>
      </x:c>
      <x:c r="B24" t="s">
        <x:v>558</x:v>
      </x:c>
      <x:c r="C24" t="str">
        <x:v>终端149</x:v>
      </x:c>
      <x:c r="D24" t="str">
        <x:v>销售员002</x:v>
      </x:c>
      <x:c r="E24" t="s">
        <x:v>526</x:v>
      </x:c>
      <x:c r="F24" t="s">
        <x:v>556</x:v>
      </x:c>
      <x:c r="G24" t="s">
        <x:v>557</x:v>
      </x:c>
      <x:c r="H24">
        <x:v>0</x:v>
      </x:c>
      <x:c r="I24">
        <x:v>70</x:v>
      </x:c>
      <x:c r="J24">
        <x:v>-70</x:v>
      </x:c>
      <x:c r="K24" t="s">
        <x:v>529</x:v>
      </x:c>
    </x:row>
    <x:row r="25">
      <x:c r="A25">
        <x:v>24</x:v>
      </x:c>
      <x:c r="B25" t="s">
        <x:v>559</x:v>
      </x:c>
      <x:c r="C25" t="str">
        <x:v>终端150</x:v>
      </x:c>
      <x:c r="D25" t="str">
        <x:v>销售员003</x:v>
      </x:c>
      <x:c r="E25" t="s">
        <x:v>526</x:v>
      </x:c>
      <x:c r="F25" t="s">
        <x:v>536</x:v>
      </x:c>
      <x:c r="G25" t="s">
        <x:v>560</x:v>
      </x:c>
      <x:c r="H25">
        <x:v>0</x:v>
      </x:c>
      <x:c r="I25">
        <x:v>50</x:v>
      </x:c>
      <x:c r="J25">
        <x:v>-50</x:v>
      </x:c>
      <x:c r="K25" t="s">
        <x:v>529</x:v>
      </x:c>
    </x:row>
    <x:row r="26">
      <x:c r="A26">
        <x:v>25</x:v>
      </x:c>
      <x:c r="B26" t="s">
        <x:v>561</x:v>
      </x:c>
      <x:c r="C26" t="str">
        <x:v>终端151</x:v>
      </x:c>
      <x:c r="D26" t="str">
        <x:v>销售员003</x:v>
      </x:c>
      <x:c r="E26" t="s">
        <x:v>526</x:v>
      </x:c>
      <x:c r="F26" t="s">
        <x:v>541</x:v>
      </x:c>
      <x:c r="G26" t="s">
        <x:v>542</x:v>
      </x:c>
      <x:c r="H26">
        <x:v>0</x:v>
      </x:c>
      <x:c r="I26">
        <x:v>30</x:v>
      </x:c>
      <x:c r="J26">
        <x:v>-30</x:v>
      </x:c>
      <x:c r="K26" t="s">
        <x:v>529</x:v>
      </x:c>
    </x:row>
    <x:row r="27">
      <x:c r="A27">
        <x:v>26</x:v>
      </x:c>
      <x:c r="B27" t="s">
        <x:v>562</x:v>
      </x:c>
      <x:c r="C27" t="str">
        <x:v>终端152</x:v>
      </x:c>
      <x:c r="D27" t="str">
        <x:v>销售员003</x:v>
      </x:c>
      <x:c r="E27" t="s">
        <x:v>526</x:v>
      </x:c>
      <x:c r="F27" t="s">
        <x:v>541</x:v>
      </x:c>
      <x:c r="G27" t="s">
        <x:v>542</x:v>
      </x:c>
      <x:c r="H27">
        <x:v>0</x:v>
      </x:c>
      <x:c r="I27">
        <x:v>30</x:v>
      </x:c>
      <x:c r="J27">
        <x:v>-30</x:v>
      </x:c>
      <x:c r="K27" t="s">
        <x:v>529</x:v>
      </x:c>
    </x:row>
    <x:row r="28">
      <x:c r="A28">
        <x:v>27</x:v>
      </x:c>
      <x:c r="B28" t="s">
        <x:v>563</x:v>
      </x:c>
      <x:c r="C28" t="str">
        <x:v>终端153</x:v>
      </x:c>
      <x:c r="D28" t="str">
        <x:v>销售员003</x:v>
      </x:c>
      <x:c r="E28" t="s">
        <x:v>526</x:v>
      </x:c>
      <x:c r="F28" t="s">
        <x:v>541</x:v>
      </x:c>
      <x:c r="G28" t="s">
        <x:v>551</x:v>
      </x:c>
      <x:c r="H28">
        <x:v>0</x:v>
      </x:c>
      <x:c r="I28">
        <x:v>30</x:v>
      </x:c>
      <x:c r="J28">
        <x:v>-30</x:v>
      </x:c>
      <x:c r="K28" t="s">
        <x:v>529</x:v>
      </x:c>
    </x:row>
    <x:row r="29">
      <x:c r="A29">
        <x:v>28</x:v>
      </x:c>
      <x:c r="B29" t="s">
        <x:v>564</x:v>
      </x:c>
      <x:c r="C29" t="str">
        <x:v>终端154</x:v>
      </x:c>
      <x:c r="D29" t="str">
        <x:v>销售员003</x:v>
      </x:c>
      <x:c r="E29" t="s">
        <x:v>526</x:v>
      </x:c>
      <x:c r="F29" t="s">
        <x:v>541</x:v>
      </x:c>
      <x:c r="G29" t="s">
        <x:v>551</x:v>
      </x:c>
      <x:c r="H29">
        <x:v>0</x:v>
      </x:c>
      <x:c r="I29">
        <x:v>30</x:v>
      </x:c>
      <x:c r="J29">
        <x:v>-30</x:v>
      </x:c>
      <x:c r="K29" t="s">
        <x:v>529</x:v>
      </x:c>
    </x:row>
    <x:row r="30">
      <x:c r="A30">
        <x:v>29</x:v>
      </x:c>
      <x:c r="B30" t="s">
        <x:v>565</x:v>
      </x:c>
      <x:c r="C30" t="str">
        <x:v>终端155</x:v>
      </x:c>
      <x:c r="D30" t="str">
        <x:v>销售员003</x:v>
      </x:c>
      <x:c r="E30" t="s">
        <x:v>526</x:v>
      </x:c>
      <x:c r="F30" t="s">
        <x:v>541</x:v>
      </x:c>
      <x:c r="G30" t="s">
        <x:v>551</x:v>
      </x:c>
      <x:c r="H30">
        <x:v>0</x:v>
      </x:c>
      <x:c r="I30">
        <x:v>30</x:v>
      </x:c>
      <x:c r="J30">
        <x:v>-30</x:v>
      </x:c>
      <x:c r="K30" t="s">
        <x:v>529</x:v>
      </x:c>
    </x:row>
    <x:row r="31">
      <x:c r="A31">
        <x:v>30</x:v>
      </x:c>
      <x:c r="B31" t="s">
        <x:v>566</x:v>
      </x:c>
      <x:c r="C31" t="str">
        <x:v>终端156</x:v>
      </x:c>
      <x:c r="D31" t="str">
        <x:v>销售员003</x:v>
      </x:c>
      <x:c r="E31" t="s">
        <x:v>526</x:v>
      </x:c>
      <x:c r="F31" t="s">
        <x:v>541</x:v>
      </x:c>
      <x:c r="G31" t="s">
        <x:v>551</x:v>
      </x:c>
      <x:c r="H31">
        <x:v>0</x:v>
      </x:c>
      <x:c r="I31">
        <x:v>30</x:v>
      </x:c>
      <x:c r="J31">
        <x:v>-30</x:v>
      </x:c>
      <x:c r="K31" t="s">
        <x:v>529</x:v>
      </x:c>
    </x:row>
    <x:row r="32">
      <x:c r="A32">
        <x:v>31</x:v>
      </x:c>
      <x:c r="B32" t="s">
        <x:v>567</x:v>
      </x:c>
      <x:c r="C32" t="str">
        <x:v>终端157</x:v>
      </x:c>
      <x:c r="D32" t="str">
        <x:v>销售员003</x:v>
      </x:c>
      <x:c r="E32" t="s">
        <x:v>526</x:v>
      </x:c>
      <x:c r="F32" t="s">
        <x:v>541</x:v>
      </x:c>
      <x:c r="G32" t="s">
        <x:v>551</x:v>
      </x:c>
      <x:c r="H32">
        <x:v>0</x:v>
      </x:c>
      <x:c r="I32">
        <x:v>30</x:v>
      </x:c>
      <x:c r="J32">
        <x:v>-30</x:v>
      </x:c>
      <x:c r="K32" t="s">
        <x:v>529</x:v>
      </x:c>
    </x:row>
    <x:row r="33">
      <x:c r="A33">
        <x:v>32</x:v>
      </x:c>
      <x:c r="B33" t="s">
        <x:v>568</x:v>
      </x:c>
      <x:c r="C33" t="str">
        <x:v>终端158</x:v>
      </x:c>
      <x:c r="D33" t="str">
        <x:v>销售员004</x:v>
      </x:c>
      <x:c r="E33" t="s">
        <x:v>526</x:v>
      </x:c>
      <x:c r="F33" t="s">
        <x:v>527</x:v>
      </x:c>
      <x:c r="G33" t="s">
        <x:v>528</x:v>
      </x:c>
      <x:c r="H33">
        <x:v>0</x:v>
      </x:c>
      <x:c r="I33">
        <x:v>100</x:v>
      </x:c>
      <x:c r="J33">
        <x:v>-100</x:v>
      </x:c>
      <x:c r="K33" t="s">
        <x:v>529</x:v>
      </x:c>
    </x:row>
    <x:row r="34">
      <x:c r="A34">
        <x:v>33</x:v>
      </x:c>
      <x:c r="B34" t="s">
        <x:v>569</x:v>
      </x:c>
      <x:c r="C34" t="str">
        <x:v>终端159</x:v>
      </x:c>
      <x:c r="D34" t="str">
        <x:v>销售员004</x:v>
      </x:c>
      <x:c r="E34" t="s">
        <x:v>526</x:v>
      </x:c>
      <x:c r="F34" t="s">
        <x:v>527</x:v>
      </x:c>
      <x:c r="G34" t="s">
        <x:v>528</x:v>
      </x:c>
      <x:c r="H34">
        <x:v>0</x:v>
      </x:c>
      <x:c r="I34">
        <x:v>100</x:v>
      </x:c>
      <x:c r="J34">
        <x:v>-100</x:v>
      </x:c>
      <x:c r="K34" t="s">
        <x:v>529</x:v>
      </x:c>
    </x:row>
    <x:row r="35">
      <x:c r="A35">
        <x:v>34</x:v>
      </x:c>
      <x:c r="B35" t="s">
        <x:v>570</x:v>
      </x:c>
      <x:c r="C35" t="str">
        <x:v>终端160</x:v>
      </x:c>
      <x:c r="D35" t="str">
        <x:v>销售员004</x:v>
      </x:c>
      <x:c r="E35" t="s">
        <x:v>526</x:v>
      </x:c>
      <x:c r="F35" t="s">
        <x:v>527</x:v>
      </x:c>
      <x:c r="G35" t="s">
        <x:v>528</x:v>
      </x:c>
      <x:c r="H35">
        <x:v>0</x:v>
      </x:c>
      <x:c r="I35">
        <x:v>100</x:v>
      </x:c>
      <x:c r="J35">
        <x:v>-100</x:v>
      </x:c>
      <x:c r="K35" t="s">
        <x:v>529</x:v>
      </x:c>
    </x:row>
    <x:row r="36">
      <x:c r="A36">
        <x:v>35</x:v>
      </x:c>
      <x:c r="B36" t="s">
        <x:v>571</x:v>
      </x:c>
      <x:c r="C36" t="str">
        <x:v>终端135</x:v>
      </x:c>
      <x:c r="D36" t="str">
        <x:v>销售员004</x:v>
      </x:c>
      <x:c r="E36" t="s">
        <x:v>526</x:v>
      </x:c>
      <x:c r="F36" t="s">
        <x:v>527</x:v>
      </x:c>
      <x:c r="G36" t="s">
        <x:v>528</x:v>
      </x:c>
      <x:c r="H36">
        <x:v>0</x:v>
      </x:c>
      <x:c r="I36">
        <x:v>100</x:v>
      </x:c>
      <x:c r="J36">
        <x:v>-100</x:v>
      </x:c>
      <x:c r="K36" t="s">
        <x:v>529</x:v>
      </x:c>
    </x:row>
    <x:row r="37">
      <x:c r="A37">
        <x:v>36</x:v>
      </x:c>
      <x:c r="B37" t="s">
        <x:v>572</x:v>
      </x:c>
      <x:c r="C37" t="str">
        <x:v>终端161</x:v>
      </x:c>
      <x:c r="D37" t="str">
        <x:v>销售员004</x:v>
      </x:c>
      <x:c r="E37" t="s">
        <x:v>526</x:v>
      </x:c>
      <x:c r="F37" t="s">
        <x:v>527</x:v>
      </x:c>
      <x:c r="G37" t="s">
        <x:v>528</x:v>
      </x:c>
      <x:c r="H37">
        <x:v>0</x:v>
      </x:c>
      <x:c r="I37">
        <x:v>100</x:v>
      </x:c>
      <x:c r="J37">
        <x:v>-100</x:v>
      </x:c>
      <x:c r="K37" t="s">
        <x:v>529</x:v>
      </x:c>
    </x:row>
    <x:row r="38">
      <x:c r="A38">
        <x:v>37</x:v>
      </x:c>
      <x:c r="B38" t="s">
        <x:v>573</x:v>
      </x:c>
      <x:c r="C38" t="str">
        <x:v>终端162</x:v>
      </x:c>
      <x:c r="D38" t="str">
        <x:v>销售员004</x:v>
      </x:c>
      <x:c r="E38" t="s">
        <x:v>526</x:v>
      </x:c>
      <x:c r="F38" t="s">
        <x:v>527</x:v>
      </x:c>
      <x:c r="G38" t="s">
        <x:v>528</x:v>
      </x:c>
      <x:c r="H38">
        <x:v>0</x:v>
      </x:c>
      <x:c r="I38">
        <x:v>100</x:v>
      </x:c>
      <x:c r="J38">
        <x:v>-100</x:v>
      </x:c>
      <x:c r="K38" t="s">
        <x:v>529</x:v>
      </x:c>
    </x:row>
    <x:row r="39">
      <x:c r="A39">
        <x:v>38</x:v>
      </x:c>
      <x:c r="B39" t="s">
        <x:v>574</x:v>
      </x:c>
      <x:c r="C39" t="str">
        <x:v>终端163</x:v>
      </x:c>
      <x:c r="D39" t="str">
        <x:v>销售员004</x:v>
      </x:c>
      <x:c r="E39" t="s">
        <x:v>526</x:v>
      </x:c>
      <x:c r="F39" t="s">
        <x:v>527</x:v>
      </x:c>
      <x:c r="G39" t="s">
        <x:v>528</x:v>
      </x:c>
      <x:c r="H39">
        <x:v>0</x:v>
      </x:c>
      <x:c r="I39">
        <x:v>100</x:v>
      </x:c>
      <x:c r="J39">
        <x:v>-100</x:v>
      </x:c>
      <x:c r="K39" t="s">
        <x:v>529</x:v>
      </x:c>
    </x:row>
    <x:row r="40">
      <x:c r="A40">
        <x:v>39</x:v>
      </x:c>
      <x:c r="B40" t="s">
        <x:v>575</x:v>
      </x:c>
      <x:c r="C40" t="str">
        <x:v>终端164</x:v>
      </x:c>
      <x:c r="D40" t="str">
        <x:v>销售员004</x:v>
      </x:c>
      <x:c r="E40" t="s">
        <x:v>526</x:v>
      </x:c>
      <x:c r="F40" t="s">
        <x:v>527</x:v>
      </x:c>
      <x:c r="G40" t="s">
        <x:v>528</x:v>
      </x:c>
      <x:c r="H40">
        <x:v>0</x:v>
      </x:c>
      <x:c r="I40">
        <x:v>100</x:v>
      </x:c>
      <x:c r="J40">
        <x:v>-100</x:v>
      </x:c>
      <x:c r="K40" t="s">
        <x:v>529</x:v>
      </x:c>
    </x:row>
    <x:row r="41">
      <x:c r="A41">
        <x:v>40</x:v>
      </x:c>
      <x:c r="B41" t="s">
        <x:v>576</x:v>
      </x:c>
      <x:c r="C41" t="str">
        <x:v>终端136</x:v>
      </x:c>
      <x:c r="D41" t="str">
        <x:v>销售员004</x:v>
      </x:c>
      <x:c r="E41" t="s">
        <x:v>526</x:v>
      </x:c>
      <x:c r="F41" t="s">
        <x:v>536</x:v>
      </x:c>
      <x:c r="G41" t="s">
        <x:v>560</x:v>
      </x:c>
      <x:c r="H41">
        <x:v>0</x:v>
      </x:c>
      <x:c r="I41">
        <x:v>50</x:v>
      </x:c>
      <x:c r="J41">
        <x:v>-50</x:v>
      </x:c>
      <x:c r="K41" t="s">
        <x:v>529</x:v>
      </x:c>
    </x:row>
    <x:row r="42">
      <x:c r="A42">
        <x:v>41</x:v>
      </x:c>
      <x:c r="B42" t="s">
        <x:v>577</x:v>
      </x:c>
      <x:c r="C42" t="str">
        <x:v>终端165</x:v>
      </x:c>
      <x:c r="D42" t="str">
        <x:v>销售员004</x:v>
      </x:c>
      <x:c r="E42" t="s">
        <x:v>526</x:v>
      </x:c>
      <x:c r="F42" t="s">
        <x:v>541</x:v>
      </x:c>
      <x:c r="G42" t="s">
        <x:v>542</x:v>
      </x:c>
      <x:c r="H42">
        <x:v>0</x:v>
      </x:c>
      <x:c r="I42">
        <x:v>30</x:v>
      </x:c>
      <x:c r="J42">
        <x:v>-30</x:v>
      </x:c>
      <x:c r="K42" t="s">
        <x:v>529</x:v>
      </x:c>
    </x:row>
    <x:row r="43">
      <x:c r="A43">
        <x:v>42</x:v>
      </x:c>
      <x:c r="B43" t="s">
        <x:v>578</x:v>
      </x:c>
      <x:c r="C43" t="str">
        <x:v>终端166</x:v>
      </x:c>
      <x:c r="D43" t="str">
        <x:v>销售员004</x:v>
      </x:c>
      <x:c r="E43" t="s">
        <x:v>526</x:v>
      </x:c>
      <x:c r="F43" t="s">
        <x:v>541</x:v>
      </x:c>
      <x:c r="G43" t="s">
        <x:v>542</x:v>
      </x:c>
      <x:c r="H43">
        <x:v>0</x:v>
      </x:c>
      <x:c r="I43">
        <x:v>30</x:v>
      </x:c>
      <x:c r="J43">
        <x:v>-30</x:v>
      </x:c>
      <x:c r="K43" t="s">
        <x:v>529</x:v>
      </x:c>
    </x:row>
    <x:row r="44">
      <x:c r="A44">
        <x:v>43</x:v>
      </x:c>
      <x:c r="B44" t="s">
        <x:v>579</x:v>
      </x:c>
      <x:c r="C44" t="str">
        <x:v>终端167</x:v>
      </x:c>
      <x:c r="D44" t="str">
        <x:v>销售员004</x:v>
      </x:c>
      <x:c r="E44" t="s">
        <x:v>526</x:v>
      </x:c>
      <x:c r="F44" t="s">
        <x:v>541</x:v>
      </x:c>
      <x:c r="G44" t="s">
        <x:v>542</x:v>
      </x:c>
      <x:c r="H44">
        <x:v>0</x:v>
      </x:c>
      <x:c r="I44">
        <x:v>30</x:v>
      </x:c>
      <x:c r="J44">
        <x:v>-30</x:v>
      </x:c>
      <x:c r="K44" t="s">
        <x:v>529</x:v>
      </x:c>
    </x:row>
    <x:row r="45">
      <x:c r="A45">
        <x:v>44</x:v>
      </x:c>
      <x:c r="B45" t="s">
        <x:v>580</x:v>
      </x:c>
      <x:c r="C45" t="str">
        <x:v>终端168</x:v>
      </x:c>
      <x:c r="D45" t="str">
        <x:v>销售员004</x:v>
      </x:c>
      <x:c r="E45" t="s">
        <x:v>526</x:v>
      </x:c>
      <x:c r="F45" t="s">
        <x:v>541</x:v>
      </x:c>
      <x:c r="G45" t="s">
        <x:v>542</x:v>
      </x:c>
      <x:c r="H45">
        <x:v>0</x:v>
      </x:c>
      <x:c r="I45">
        <x:v>30</x:v>
      </x:c>
      <x:c r="J45">
        <x:v>-30</x:v>
      </x:c>
      <x:c r="K45" t="s">
        <x:v>529</x:v>
      </x:c>
    </x:row>
    <x:row r="46">
      <x:c r="A46">
        <x:v>45</x:v>
      </x:c>
      <x:c r="B46" t="s">
        <x:v>581</x:v>
      </x:c>
      <x:c r="C46" t="str">
        <x:v>终端169</x:v>
      </x:c>
      <x:c r="D46" t="str">
        <x:v>销售员004</x:v>
      </x:c>
      <x:c r="E46" t="s">
        <x:v>526</x:v>
      </x:c>
      <x:c r="F46" t="s">
        <x:v>541</x:v>
      </x:c>
      <x:c r="G46" t="s">
        <x:v>542</x:v>
      </x:c>
      <x:c r="H46">
        <x:v>0</x:v>
      </x:c>
      <x:c r="I46">
        <x:v>30</x:v>
      </x:c>
      <x:c r="J46">
        <x:v>-30</x:v>
      </x:c>
      <x:c r="K46" t="s">
        <x:v>529</x:v>
      </x:c>
    </x:row>
    <x:row r="47">
      <x:c r="A47">
        <x:v>46</x:v>
      </x:c>
      <x:c r="B47" t="s">
        <x:v>582</x:v>
      </x:c>
      <x:c r="C47" t="str">
        <x:v>终端170</x:v>
      </x:c>
      <x:c r="D47" t="str">
        <x:v>销售员004</x:v>
      </x:c>
      <x:c r="E47" t="s">
        <x:v>526</x:v>
      </x:c>
      <x:c r="F47" t="s">
        <x:v>541</x:v>
      </x:c>
      <x:c r="G47" t="s">
        <x:v>542</x:v>
      </x:c>
      <x:c r="H47">
        <x:v>0</x:v>
      </x:c>
      <x:c r="I47">
        <x:v>30</x:v>
      </x:c>
      <x:c r="J47">
        <x:v>-30</x:v>
      </x:c>
      <x:c r="K47" t="s">
        <x:v>529</x:v>
      </x:c>
    </x:row>
    <x:row r="48">
      <x:c r="A48">
        <x:v>47</x:v>
      </x:c>
      <x:c r="B48" t="s">
        <x:v>583</x:v>
      </x:c>
      <x:c r="C48" t="str">
        <x:v>终端171</x:v>
      </x:c>
      <x:c r="D48" t="str">
        <x:v>销售员004</x:v>
      </x:c>
      <x:c r="E48" t="s">
        <x:v>526</x:v>
      </x:c>
      <x:c r="F48" t="s">
        <x:v>541</x:v>
      </x:c>
      <x:c r="G48" t="s">
        <x:v>542</x:v>
      </x:c>
      <x:c r="H48">
        <x:v>0</x:v>
      </x:c>
      <x:c r="I48">
        <x:v>30</x:v>
      </x:c>
      <x:c r="J48">
        <x:v>-30</x:v>
      </x:c>
      <x:c r="K48" t="s">
        <x:v>529</x:v>
      </x:c>
    </x:row>
    <x:row r="49">
      <x:c r="A49">
        <x:v>48</x:v>
      </x:c>
      <x:c r="B49" t="s">
        <x:v>584</x:v>
      </x:c>
      <x:c r="C49" t="str">
        <x:v>终端172</x:v>
      </x:c>
      <x:c r="D49" t="str">
        <x:v>销售员004</x:v>
      </x:c>
      <x:c r="E49" t="s">
        <x:v>526</x:v>
      </x:c>
      <x:c r="F49" t="s">
        <x:v>541</x:v>
      </x:c>
      <x:c r="G49" t="s">
        <x:v>542</x:v>
      </x:c>
      <x:c r="H49">
        <x:v>0</x:v>
      </x:c>
      <x:c r="I49">
        <x:v>30</x:v>
      </x:c>
      <x:c r="J49">
        <x:v>-30</x:v>
      </x:c>
      <x:c r="K49" t="s">
        <x:v>529</x:v>
      </x:c>
    </x:row>
    <x:row r="50">
      <x:c r="A50">
        <x:v>49</x:v>
      </x:c>
      <x:c r="B50" t="s">
        <x:v>585</x:v>
      </x:c>
      <x:c r="C50" t="str">
        <x:v>终端173</x:v>
      </x:c>
      <x:c r="D50" t="str">
        <x:v>销售员004</x:v>
      </x:c>
      <x:c r="E50" t="s">
        <x:v>526</x:v>
      </x:c>
      <x:c r="F50" t="s">
        <x:v>541</x:v>
      </x:c>
      <x:c r="G50" t="s">
        <x:v>542</x:v>
      </x:c>
      <x:c r="H50">
        <x:v>0</x:v>
      </x:c>
      <x:c r="I50">
        <x:v>30</x:v>
      </x:c>
      <x:c r="J50">
        <x:v>-30</x:v>
      </x:c>
      <x:c r="K50" t="s">
        <x:v>529</x:v>
      </x:c>
    </x:row>
    <x:row r="51">
      <x:c r="A51">
        <x:v>50</x:v>
      </x:c>
      <x:c r="B51" t="s">
        <x:v>586</x:v>
      </x:c>
      <x:c r="C51" t="str">
        <x:v>终端174</x:v>
      </x:c>
      <x:c r="D51" t="str">
        <x:v>销售员004</x:v>
      </x:c>
      <x:c r="E51" t="s">
        <x:v>526</x:v>
      </x:c>
      <x:c r="F51" t="s">
        <x:v>541</x:v>
      </x:c>
      <x:c r="G51" t="s">
        <x:v>542</x:v>
      </x:c>
      <x:c r="H51">
        <x:v>0</x:v>
      </x:c>
      <x:c r="I51">
        <x:v>30</x:v>
      </x:c>
      <x:c r="J51">
        <x:v>-30</x:v>
      </x:c>
      <x:c r="K51" t="s">
        <x:v>529</x:v>
      </x:c>
    </x:row>
    <x:row r="52">
      <x:c r="A52">
        <x:v>51</x:v>
      </x:c>
      <x:c r="B52" t="s">
        <x:v>587</x:v>
      </x:c>
      <x:c r="C52" t="str">
        <x:v>终端175</x:v>
      </x:c>
      <x:c r="D52" t="str">
        <x:v>销售员004</x:v>
      </x:c>
      <x:c r="E52" t="s">
        <x:v>526</x:v>
      </x:c>
      <x:c r="F52" t="s">
        <x:v>541</x:v>
      </x:c>
      <x:c r="G52" t="s">
        <x:v>551</x:v>
      </x:c>
      <x:c r="H52">
        <x:v>0</x:v>
      </x:c>
      <x:c r="I52">
        <x:v>30</x:v>
      </x:c>
      <x:c r="J52">
        <x:v>-30</x:v>
      </x:c>
      <x:c r="K52" t="s">
        <x:v>529</x:v>
      </x:c>
    </x:row>
    <x:row r="53">
      <x:c r="A53">
        <x:v>52</x:v>
      </x:c>
      <x:c r="B53" t="s">
        <x:v>588</x:v>
      </x:c>
      <x:c r="C53" t="str">
        <x:v>终端176</x:v>
      </x:c>
      <x:c r="D53" t="str">
        <x:v>销售员004</x:v>
      </x:c>
      <x:c r="E53" t="s">
        <x:v>526</x:v>
      </x:c>
      <x:c r="F53" t="s">
        <x:v>541</x:v>
      </x:c>
      <x:c r="G53" t="s">
        <x:v>551</x:v>
      </x:c>
      <x:c r="H53">
        <x:v>0</x:v>
      </x:c>
      <x:c r="I53">
        <x:v>30</x:v>
      </x:c>
      <x:c r="J53">
        <x:v>-30</x:v>
      </x:c>
      <x:c r="K53" t="s">
        <x:v>529</x:v>
      </x:c>
    </x:row>
    <x:row r="54">
      <x:c r="A54">
        <x:v>53</x:v>
      </x:c>
      <x:c r="B54" t="s">
        <x:v>589</x:v>
      </x:c>
      <x:c r="C54" t="str">
        <x:v>终端177</x:v>
      </x:c>
      <x:c r="D54" t="str">
        <x:v>销售员004</x:v>
      </x:c>
      <x:c r="E54" t="s">
        <x:v>526</x:v>
      </x:c>
      <x:c r="F54" t="s">
        <x:v>541</x:v>
      </x:c>
      <x:c r="G54" t="s">
        <x:v>551</x:v>
      </x:c>
      <x:c r="H54">
        <x:v>0</x:v>
      </x:c>
      <x:c r="I54">
        <x:v>30</x:v>
      </x:c>
      <x:c r="J54">
        <x:v>-30</x:v>
      </x:c>
      <x:c r="K54" t="s">
        <x:v>529</x:v>
      </x:c>
    </x:row>
    <x:row r="55">
      <x:c r="A55">
        <x:v>54</x:v>
      </x:c>
      <x:c r="B55" t="s">
        <x:v>590</x:v>
      </x:c>
      <x:c r="C55" t="str">
        <x:v>终端178</x:v>
      </x:c>
      <x:c r="D55" t="str">
        <x:v>销售员004</x:v>
      </x:c>
      <x:c r="E55" t="s">
        <x:v>526</x:v>
      </x:c>
      <x:c r="F55" t="s">
        <x:v>541</x:v>
      </x:c>
      <x:c r="G55" t="s">
        <x:v>551</x:v>
      </x:c>
      <x:c r="H55">
        <x:v>0</x:v>
      </x:c>
      <x:c r="I55">
        <x:v>30</x:v>
      </x:c>
      <x:c r="J55">
        <x:v>-30</x:v>
      </x:c>
      <x:c r="K55" t="s">
        <x:v>529</x:v>
      </x:c>
    </x:row>
    <x:row r="56">
      <x:c r="A56">
        <x:v>55</x:v>
      </x:c>
      <x:c r="B56" t="s">
        <x:v>591</x:v>
      </x:c>
      <x:c r="C56" t="str">
        <x:v>终端179</x:v>
      </x:c>
      <x:c r="D56" t="str">
        <x:v>销售员004</x:v>
      </x:c>
      <x:c r="E56" t="s">
        <x:v>526</x:v>
      </x:c>
      <x:c r="F56" t="s">
        <x:v>541</x:v>
      </x:c>
      <x:c r="G56" t="s">
        <x:v>551</x:v>
      </x:c>
      <x:c r="H56">
        <x:v>0</x:v>
      </x:c>
      <x:c r="I56">
        <x:v>30</x:v>
      </x:c>
      <x:c r="J56">
        <x:v>-30</x:v>
      </x:c>
      <x:c r="K56" t="s">
        <x:v>529</x:v>
      </x:c>
    </x:row>
    <x:row r="57">
      <x:c r="A57">
        <x:v>56</x:v>
      </x:c>
      <x:c r="B57" t="s">
        <x:v>592</x:v>
      </x:c>
      <x:c r="C57" t="str">
        <x:v>终端180</x:v>
      </x:c>
      <x:c r="D57" t="str">
        <x:v>销售员004</x:v>
      </x:c>
      <x:c r="E57" t="s">
        <x:v>526</x:v>
      </x:c>
      <x:c r="F57" t="s">
        <x:v>541</x:v>
      </x:c>
      <x:c r="G57" t="s">
        <x:v>551</x:v>
      </x:c>
      <x:c r="H57">
        <x:v>0</x:v>
      </x:c>
      <x:c r="I57">
        <x:v>30</x:v>
      </x:c>
      <x:c r="J57">
        <x:v>-30</x:v>
      </x:c>
      <x:c r="K57" t="s">
        <x:v>529</x:v>
      </x:c>
    </x:row>
    <x:row r="58">
      <x:c r="A58">
        <x:v>57</x:v>
      </x:c>
      <x:c r="B58" t="s">
        <x:v>593</x:v>
      </x:c>
      <x:c r="C58" t="str">
        <x:v>终端181</x:v>
      </x:c>
      <x:c r="D58" t="str">
        <x:v>销售员004</x:v>
      </x:c>
      <x:c r="E58" t="s">
        <x:v>526</x:v>
      </x:c>
      <x:c r="F58" t="s">
        <x:v>556</x:v>
      </x:c>
      <x:c r="G58" t="s">
        <x:v>557</x:v>
      </x:c>
      <x:c r="H58">
        <x:v>0</x:v>
      </x:c>
      <x:c r="I58">
        <x:v>70</x:v>
      </x:c>
      <x:c r="J58">
        <x:v>-70</x:v>
      </x:c>
      <x:c r="K58" t="s">
        <x:v>529</x:v>
      </x:c>
    </x:row>
    <x:row r="59">
      <x:c r="A59">
        <x:v>58</x:v>
      </x:c>
      <x:c r="B59" t="s">
        <x:v>594</x:v>
      </x:c>
      <x:c r="C59" t="str">
        <x:v>终端182</x:v>
      </x:c>
      <x:c r="D59" t="str">
        <x:v>销售员001</x:v>
      </x:c>
      <x:c r="E59" t="s">
        <x:v>526</x:v>
      </x:c>
      <x:c r="F59" t="s">
        <x:v>527</x:v>
      </x:c>
      <x:c r="G59" t="s">
        <x:v>528</x:v>
      </x:c>
      <x:c r="H59">
        <x:v>0</x:v>
      </x:c>
      <x:c r="I59">
        <x:v>100</x:v>
      </x:c>
      <x:c r="J59">
        <x:v>-100</x:v>
      </x:c>
      <x:c r="K59" t="s">
        <x:v>529</x:v>
      </x:c>
    </x:row>
    <x:row r="60">
      <x:c r="A60">
        <x:v>59</x:v>
      </x:c>
      <x:c r="B60" t="s">
        <x:v>595</x:v>
      </x:c>
      <x:c r="C60" t="str">
        <x:v>终端183</x:v>
      </x:c>
      <x:c r="D60" t="str">
        <x:v>销售员001</x:v>
      </x:c>
      <x:c r="E60" t="s">
        <x:v>526</x:v>
      </x:c>
      <x:c r="F60" t="s">
        <x:v>541</x:v>
      </x:c>
      <x:c r="G60" t="s">
        <x:v>542</x:v>
      </x:c>
      <x:c r="H60">
        <x:v>0</x:v>
      </x:c>
      <x:c r="I60">
        <x:v>30</x:v>
      </x:c>
      <x:c r="J60">
        <x:v>-30</x:v>
      </x:c>
      <x:c r="K60" t="s">
        <x:v>529</x:v>
      </x:c>
    </x:row>
    <x:row r="61">
      <x:c r="A61">
        <x:v>60</x:v>
      </x:c>
      <x:c r="B61" t="s">
        <x:v>596</x:v>
      </x:c>
      <x:c r="C61" t="str">
        <x:v>终端184</x:v>
      </x:c>
      <x:c r="D61" t="str">
        <x:v>销售员001</x:v>
      </x:c>
      <x:c r="E61" t="s">
        <x:v>526</x:v>
      </x:c>
      <x:c r="F61" t="s">
        <x:v>541</x:v>
      </x:c>
      <x:c r="G61" t="s">
        <x:v>542</x:v>
      </x:c>
      <x:c r="H61">
        <x:v>0</x:v>
      </x:c>
      <x:c r="I61">
        <x:v>30</x:v>
      </x:c>
      <x:c r="J61">
        <x:v>-30</x:v>
      </x:c>
      <x:c r="K61" t="s">
        <x:v>529</x:v>
      </x:c>
    </x:row>
    <x:row r="62">
      <x:c r="A62">
        <x:v>61</x:v>
      </x:c>
      <x:c r="B62" t="s">
        <x:v>597</x:v>
      </x:c>
      <x:c r="C62" t="str">
        <x:v>终端185</x:v>
      </x:c>
      <x:c r="D62" t="str">
        <x:v>销售员001</x:v>
      </x:c>
      <x:c r="E62" t="s">
        <x:v>526</x:v>
      </x:c>
      <x:c r="F62" t="s">
        <x:v>541</x:v>
      </x:c>
      <x:c r="G62" t="s">
        <x:v>542</x:v>
      </x:c>
      <x:c r="H62">
        <x:v>0</x:v>
      </x:c>
      <x:c r="I62">
        <x:v>30</x:v>
      </x:c>
      <x:c r="J62">
        <x:v>-30</x:v>
      </x:c>
      <x:c r="K62" t="s">
        <x:v>529</x:v>
      </x:c>
    </x:row>
    <x:row r="63">
      <x:c r="A63">
        <x:v>62</x:v>
      </x:c>
      <x:c r="B63" t="s">
        <x:v>598</x:v>
      </x:c>
      <x:c r="C63" t="str">
        <x:v>终端186</x:v>
      </x:c>
      <x:c r="D63" t="str">
        <x:v>销售员001</x:v>
      </x:c>
      <x:c r="E63" t="s">
        <x:v>526</x:v>
      </x:c>
      <x:c r="F63" t="s">
        <x:v>541</x:v>
      </x:c>
      <x:c r="G63" t="s">
        <x:v>551</x:v>
      </x:c>
      <x:c r="H63">
        <x:v>0</x:v>
      </x:c>
      <x:c r="I63">
        <x:v>30</x:v>
      </x:c>
      <x:c r="J63">
        <x:v>-30</x:v>
      </x:c>
      <x:c r="K63" t="s">
        <x:v>529</x:v>
      </x:c>
    </x:row>
    <x:row r="64">
      <x:c r="A64">
        <x:v>63</x:v>
      </x:c>
      <x:c r="B64" t="s">
        <x:v>599</x:v>
      </x:c>
      <x:c r="C64" t="str">
        <x:v>终端187</x:v>
      </x:c>
      <x:c r="D64" t="str">
        <x:v>销售员001</x:v>
      </x:c>
      <x:c r="E64" t="s">
        <x:v>526</x:v>
      </x:c>
      <x:c r="F64" t="s">
        <x:v>556</x:v>
      </x:c>
      <x:c r="G64" t="s">
        <x:v>557</x:v>
      </x:c>
      <x:c r="H64">
        <x:v>0</x:v>
      </x:c>
      <x:c r="I64">
        <x:v>70</x:v>
      </x:c>
      <x:c r="J64">
        <x:v>-70</x:v>
      </x:c>
      <x:c r="K64" t="s">
        <x:v>529</x:v>
      </x:c>
    </x:row>
  </x:sheetData>
  <x:pageMargins left="0.7" right="0.7" top="0.75" bottom="0.75" header="0.3" footer="0.3"/>
</x:worksheet>
</file>