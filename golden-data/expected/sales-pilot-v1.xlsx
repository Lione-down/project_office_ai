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经营数据" sheetId="1" r:id="rId1"/>
    <sheet name="经营看板" sheetId="2" r:id="rId2"/>
  </sheets>
  <definedNames>
    <definedName name="_xlnm.Print_Area" localSheetId="0">经营数据!$A$1:$G$9</definedName>
    <definedName name="_xlnm.Print_Area" localSheetId="1">经营看板!$A$1:$L$21</definedName>
    <definedName name="_xlnm.Print_Titles" localSheetId="0">经营数据!$2:$2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821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4527A"/>
        <bgColor indexed="64"/>
      </patternFill>
    </fill>
    <fill>
      <patternFill patternType="solid">
        <fgColor rgb="FF3578A8"/>
        <bgColor indexed="64"/>
      </patternFill>
    </fill>
    <fill>
      <patternFill patternType="solid">
        <fgColor rgb="FFDCEA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" fontId="0" fillId="0" borderId="1" xfId="0" applyNumberFormat="1" applyBorder="1"/>
    <xf numFmtId="0" fontId="4" fillId="4" borderId="1" xfId="0" applyFont="1" applyFill="1" applyBorder="1"/>
  </cellXfs>
  <cellStyles count="1">
    <cellStyle name="Normal" xfId="0" builtinId="0"/>
  </cellStyles>
  <dxfs count="1">
    <dxf>
      <font>
        <color rgb="FFB42318"/>
      </font>
      <fill>
        <patternFill>
          <bgColor rgb="FFFEE4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aseline="0"/>
            </a:pPr>
            <a:r>
              <a:rPr lang="en-US" sz="1400" baseline="0"/>
              <a:t>出货对比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经营数据!$C$2</c:f>
              <c:strCache>
                <c:ptCount val="0"/>
              </c:strCache>
            </c:strRef>
          </c:tx>
          <c:cat>
            <c:numRef>
              <c:f>经营数据!$A$3:$A$9</c:f>
            </c:numRef>
          </c:cat>
          <c:val>
            <c:numRef>
              <c:f>经营数据!$C$3:$C$9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经营数据!$D$2</c:f>
              <c:strCache>
                <c:ptCount val="0"/>
              </c:strCache>
            </c:strRef>
          </c:tx>
          <c:cat>
            <c:numRef>
              <c:f>经营数据!$A$3:$A$9</c:f>
            </c:numRef>
          </c:cat>
          <c:val>
            <c:numRef>
              <c:f>经营数据!$D$3:$D$9</c:f>
              <c:numCache>
                <c:formatCode>General</c:formatCode>
                <c:ptCount val="0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578A8"/>
    <pageSetUpPr fitToPage="1"/>
  </sheetPr>
  <dimension ref="A1:G9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8.7109375" customWidth="1"/>
    <col min="2" max="7" width="16.7109375" customWidth="1"/>
  </cols>
  <sheetData>
    <row r="1" ht="24" customHeight="1">
      <c r="A1" s="1" t="inlineStr">
        <is>
          <t>脱敏经营数据</t>
        </is>
      </c>
      <c r="B1" s="1"/>
      <c r="C1" s="1"/>
      <c r="D1" s="1"/>
      <c r="E1" s="1"/>
      <c r="F1" s="1"/>
      <c r="G1" s="1"/>
    </row>
    <row r="2">
      <c r="A2" s="2" t="inlineStr">
        <is>
          <t>业务员</t>
        </is>
      </c>
      <c r="B2" s="2" t="inlineStr">
        <is>
          <t>任务量</t>
        </is>
      </c>
      <c r="C2" s="2" t="inlineStr">
        <is>
          <t>本期出货</t>
        </is>
      </c>
      <c r="D2" s="2" t="inlineStr">
        <is>
          <t>上年同期</t>
        </is>
      </c>
      <c r="E2" s="2" t="inlineStr">
        <is>
          <t>完成率</t>
        </is>
      </c>
      <c r="F2" s="2" t="inlineStr">
        <is>
          <t>同比</t>
        </is>
      </c>
      <c r="G2" s="2" t="inlineStr">
        <is>
          <t>本期排名</t>
        </is>
      </c>
    </row>
    <row r="3">
      <c r="A3" s="3" t="inlineStr">
        <is>
          <t>销售员003</t>
        </is>
      </c>
      <c r="B3" s="4">
        <v>7587.714607</v>
      </c>
      <c r="C3" s="4">
        <v>7624</v>
      </c>
      <c r="D3" s="4">
        <v>8251</v>
      </c>
      <c r="E3" s="4">
        <v>1.004782</v>
      </c>
      <c r="F3" s="5">
        <f>IFERROR((C3-D3)/D3,0)</f>
        <v>-0.0759907889952733</v>
      </c>
      <c r="G3" s="6">
        <f>RANK(C3,$C$3:$C$9,0)</f>
        <v>5</v>
      </c>
    </row>
    <row r="4">
      <c r="A4" s="3" t="inlineStr">
        <is>
          <t>销售员004</t>
        </is>
      </c>
      <c r="B4" s="4">
        <v>9239.388011999999</v>
      </c>
      <c r="C4" s="4">
        <v>6556</v>
      </c>
      <c r="D4" s="4">
        <v>6823.5</v>
      </c>
      <c r="E4" s="4">
        <v>0.709571</v>
      </c>
      <c r="F4" s="5">
        <f>IFERROR((C4-D4)/D4,0)</f>
        <v>-0.03920275518428959</v>
      </c>
      <c r="G4" s="6">
        <f>RANK(C4,$C$3:$C$9,0)</f>
        <v>7</v>
      </c>
    </row>
    <row r="5">
      <c r="A5" s="3" t="inlineStr">
        <is>
          <t>销售员002</t>
        </is>
      </c>
      <c r="B5" s="4">
        <v>7779.308583</v>
      </c>
      <c r="C5" s="4">
        <v>6676.5</v>
      </c>
      <c r="D5" s="4">
        <v>5776</v>
      </c>
      <c r="E5" s="4">
        <v>0.8582379999999999</v>
      </c>
      <c r="F5" s="5">
        <f>IFERROR((C5-D5)/D5,0)</f>
        <v>0.15590373961218837</v>
      </c>
      <c r="G5" s="6">
        <f>RANK(C5,$C$3:$C$9,0)</f>
        <v>6</v>
      </c>
    </row>
    <row r="6">
      <c r="A6" s="3" t="inlineStr">
        <is>
          <t>销售员001</t>
        </is>
      </c>
      <c r="B6" s="4">
        <v>8329.920416000001</v>
      </c>
      <c r="C6" s="4">
        <v>8850.5</v>
      </c>
      <c r="D6" s="4">
        <v>7142</v>
      </c>
      <c r="E6" s="4">
        <v>1.062495</v>
      </c>
      <c r="F6" s="5">
        <f>IFERROR((C6-D6)/D6,0)</f>
        <v>0.23921870624474936</v>
      </c>
      <c r="G6" s="6">
        <f>RANK(C6,$C$3:$C$9,0)</f>
        <v>4</v>
      </c>
    </row>
    <row r="7">
      <c r="A7" s="3" t="inlineStr">
        <is>
          <t>销售员006</t>
        </is>
      </c>
      <c r="B7" s="4">
        <v>16293.168288</v>
      </c>
      <c r="C7" s="4">
        <v>13438.2</v>
      </c>
      <c r="D7" s="4">
        <v>11588.8</v>
      </c>
      <c r="E7" s="4">
        <v>0.824775</v>
      </c>
      <c r="F7" s="5">
        <f>IFERROR((C7-D7)/D7,0)</f>
        <v>0.15958511666436573</v>
      </c>
      <c r="G7" s="6">
        <f>RANK(C7,$C$3:$C$9,0)</f>
        <v>3</v>
      </c>
    </row>
    <row r="8">
      <c r="A8" s="3" t="inlineStr">
        <is>
          <t>销售员005</t>
        </is>
      </c>
      <c r="B8" s="4">
        <v>13395.867722</v>
      </c>
      <c r="C8" s="4">
        <v>16700.8</v>
      </c>
      <c r="D8" s="4">
        <v>12610.5</v>
      </c>
      <c r="E8" s="4">
        <v>1.246713</v>
      </c>
      <c r="F8" s="5">
        <f>IFERROR((C8-D8)/D8,0)</f>
        <v>0.3243566868879108</v>
      </c>
      <c r="G8" s="6">
        <f>RANK(C8,$C$3:$C$9,0)</f>
        <v>2</v>
      </c>
    </row>
    <row r="9">
      <c r="A9" s="3" t="inlineStr">
        <is>
          <t>销售员007</t>
        </is>
      </c>
      <c r="B9" s="4">
        <v>62625.367627</v>
      </c>
      <c r="C9" s="4">
        <v>59846</v>
      </c>
      <c r="D9" s="4">
        <v>52191.8</v>
      </c>
      <c r="E9" s="4">
        <v>0.955619</v>
      </c>
      <c r="F9" s="5">
        <f>IFERROR((C9-D9)/D9,0)</f>
        <v>0.14665522170149328</v>
      </c>
      <c r="G9" s="6">
        <f>RANK(C9,$C$3:$C$9,0)</f>
        <v>1</v>
      </c>
    </row>
  </sheetData>
  <mergeCells count="1">
    <mergeCell ref="A1:G1"/>
  </mergeCells>
  <conditionalFormatting sqref="F3:F9">
    <cfRule type="cellIs" dxfId="0" priority="1" operator="lessThan">
      <formula>0.0</formula>
    </cfRule>
  </conditionalFormatting>
  <printOptions horizontalCentered="1"/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578A8"/>
    <pageSetUpPr fitToPage="1"/>
  </sheetPr>
  <dimension ref="A1:B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</cols>
  <sheetData>
    <row r="1" ht="24" customHeight="1">
      <c r="A1" s="1" t="inlineStr">
        <is>
          <t>经营看板</t>
        </is>
      </c>
      <c r="B1" s="1"/>
    </row>
    <row r="2">
      <c r="A2" s="2" t="inlineStr">
        <is>
          <t>指标</t>
        </is>
      </c>
      <c r="B2" s="2" t="inlineStr">
        <is>
          <t>值</t>
        </is>
      </c>
    </row>
    <row r="3">
      <c r="A3" s="7" t="inlineStr">
        <is>
          <t>任务总量</t>
        </is>
      </c>
      <c r="B3" s="4">
        <f>SUM('经营数据'!$B$3:$B$9)</f>
        <v>125250.735255</v>
      </c>
    </row>
    <row r="4">
      <c r="A4" s="7" t="inlineStr">
        <is>
          <t>本期出货</t>
        </is>
      </c>
      <c r="B4" s="4">
        <f>SUM('经营数据'!$C$3:$C$9)</f>
        <v>119692.0</v>
      </c>
    </row>
    <row r="5">
      <c r="A5" s="7" t="inlineStr">
        <is>
          <t>上年同期</t>
        </is>
      </c>
      <c r="B5" s="4">
        <f>SUM('经营数据'!$D$3:$D$9)</f>
        <v>104383.6</v>
      </c>
    </row>
  </sheetData>
  <mergeCells count="1">
    <mergeCell ref="A1:B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经营数据</vt:lpstr>
      <vt:lpstr>经营看板</vt:lpstr>
      <vt:lpstr>经营数据!Print_Area</vt:lpstr>
      <vt:lpstr>经营看板!Print_Area</vt:lpstr>
      <vt:lpstr>经营数据!Print_Titles</vt:lpstr>
    </vt:vector>
  </TitlesOfParts>
  <Company>Office AI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上半年销售经营 Pilot</dc:title>
  <dc:subject>授权脱敏单样本黄金回归</dc:subject>
  <dc:creator>Office AI</dc:creator>
  <dc:description>Generated by Office AI deterministic Excel Renderer</dc:description>
  <cp:lastModifiedBy>Office AI</cp:lastModifiedBy>
  <dcterms:created xsi:type="dcterms:W3CDTF">2000-01-01T00:00:00Z</dcterms:created>
  <dcterms:modified xsi:type="dcterms:W3CDTF">2000-01-01T00:00:00Z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AIPlanSHA256">
    <vt:lpwstr>f49ca5437789296aa8cebec8057fe9beca6e4dec07af6a8fe4e528c224c1f076</vt:lpwstr>
  </property>
  <property fmtid="{D5CDD505-2E9C-101B-9397-08002B2CF9AE}" pid="3" name="OfficeAIRendererVersion">
    <vt:lpwstr>excel-renderer.v1</vt:lpwstr>
  </property>
  <property fmtid="{D5CDD505-2E9C-101B-9397-08002B2CF9AE}" pid="4" name="OfficeAITemplate">
    <vt:lpwstr>excel.analysis-dashboard.v1@1.0.0</vt:lpwstr>
  </property>
</Properties>
</file>